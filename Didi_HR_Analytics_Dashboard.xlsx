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hidePivotFieldList="1" defaultThemeVersion="166925"/>
  <mc:AlternateContent xmlns:mc="http://schemas.openxmlformats.org/markup-compatibility/2006">
    <mc:Choice Requires="x15">
      <x15ac:absPath xmlns:x15ac="http://schemas.microsoft.com/office/spreadsheetml/2010/11/ac" url="/Users/didi/Downloads/HR-Recruitment-Workforce-Analytics-Dashboard/"/>
    </mc:Choice>
  </mc:AlternateContent>
  <xr:revisionPtr revIDLastSave="0" documentId="13_ncr:1_{BC7BC237-B6E2-C348-88A2-82DC61E1EEB7}" xr6:coauthVersionLast="47" xr6:coauthVersionMax="47" xr10:uidLastSave="{00000000-0000-0000-0000-000000000000}"/>
  <bookViews>
    <workbookView xWindow="0" yWindow="0" windowWidth="28800" windowHeight="18000" xr2:uid="{CC63D756-E126-6740-B6DC-E7EA18181088}"/>
  </bookViews>
  <sheets>
    <sheet name="EMPLOYEES" sheetId="1" r:id="rId1"/>
    <sheet name="Pivots" sheetId="5" r:id="rId2"/>
    <sheet name="Dashboard" sheetId="6" r:id="rId3"/>
    <sheet name="RECRUITMENT" sheetId="2" r:id="rId4"/>
  </sheets>
  <definedNames>
    <definedName name="Slicer_Application_Month">#N/A</definedName>
    <definedName name="Slicer_Department">#N/A</definedName>
    <definedName name="Slicer_Status">#N/A</definedName>
  </definedNames>
  <calcPr calcId="191029"/>
  <pivotCaches>
    <pivotCache cacheId="6" r:id="rId5"/>
    <pivotCache cacheId="3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9" i="6" l="1"/>
  <c r="J2" i="2"/>
  <c r="J3" i="2"/>
  <c r="J4" i="2"/>
  <c r="J5" i="2"/>
  <c r="J6" i="2"/>
  <c r="J7" i="2"/>
  <c r="J8" i="2"/>
  <c r="J9" i="2"/>
  <c r="J10" i="2"/>
  <c r="J11" i="2"/>
  <c r="J12" i="2"/>
  <c r="J13" i="2"/>
  <c r="G9" i="6"/>
  <c r="E9" i="6"/>
  <c r="I9" i="6"/>
  <c r="I15" i="2"/>
  <c r="K13" i="2"/>
  <c r="K12" i="2"/>
  <c r="K11" i="2"/>
  <c r="K10" i="2"/>
  <c r="K9" i="2"/>
  <c r="K8" i="2"/>
  <c r="K7" i="2"/>
  <c r="K6" i="2"/>
  <c r="K5" i="2"/>
  <c r="K4" i="2"/>
  <c r="K3" i="2"/>
  <c r="K2" i="2"/>
  <c r="J2" i="1"/>
  <c r="J3" i="1"/>
  <c r="J4" i="1"/>
  <c r="J5" i="1"/>
  <c r="J6" i="1"/>
  <c r="J7" i="1"/>
  <c r="J8" i="1"/>
  <c r="J9" i="1"/>
  <c r="J10" i="1"/>
  <c r="J11" i="1"/>
  <c r="J12" i="1"/>
  <c r="J13" i="1"/>
  <c r="J14" i="1"/>
  <c r="J15" i="1"/>
  <c r="J16" i="1"/>
  <c r="I2" i="1"/>
  <c r="I3" i="1"/>
  <c r="I4" i="1"/>
  <c r="I5" i="1"/>
  <c r="I6" i="1"/>
  <c r="I7" i="1"/>
  <c r="I8" i="1"/>
  <c r="I9" i="1"/>
  <c r="I10" i="1"/>
  <c r="I11" i="1"/>
  <c r="I12" i="1"/>
  <c r="I13" i="1"/>
  <c r="I14" i="1"/>
  <c r="I15" i="1"/>
  <c r="I16" i="1"/>
  <c r="I2" i="2"/>
  <c r="I14" i="2" s="1"/>
  <c r="I3" i="2"/>
  <c r="I4" i="2"/>
  <c r="I5" i="2"/>
  <c r="I6" i="2"/>
  <c r="I7" i="2"/>
  <c r="I8" i="2"/>
  <c r="I9" i="2"/>
  <c r="I10" i="2"/>
  <c r="I11" i="2"/>
  <c r="I12" i="2"/>
  <c r="I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0C0FE-33D2-4B42-ABA7-C9703CD5FFDD}"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2" xr16:uid="{C3A7675F-D118-8F48-AB01-B4916A25113A}" keepAlive="1" name="Query - RECRUITMENT" description="Connection to the 'RECRUITMENT' query in the workbook." type="5" refreshedVersion="8" background="1" saveData="1">
    <dbPr connection="Provider=Microsoft.Mashup.OleDb.1;Data Source=$Workbook$;Location=RECRUITMENT;Extended Properties=&quot;&quot;" command="SELECT * FROM [RECRUITMENT]"/>
  </connection>
</connections>
</file>

<file path=xl/sharedStrings.xml><?xml version="1.0" encoding="utf-8"?>
<sst xmlns="http://schemas.openxmlformats.org/spreadsheetml/2006/main" count="175" uniqueCount="82">
  <si>
    <t>Role</t>
  </si>
  <si>
    <t>Department</t>
  </si>
  <si>
    <t>Status</t>
  </si>
  <si>
    <t>Candidate ID</t>
  </si>
  <si>
    <t>C001</t>
  </si>
  <si>
    <t>HR Assistant</t>
  </si>
  <si>
    <t>Hired</t>
  </si>
  <si>
    <t>Application Date</t>
  </si>
  <si>
    <t>Interview Date</t>
  </si>
  <si>
    <t>Offer Date</t>
  </si>
  <si>
    <t>Hire Date</t>
  </si>
  <si>
    <t>C002</t>
  </si>
  <si>
    <t>Software Engineer</t>
  </si>
  <si>
    <t>C003</t>
  </si>
  <si>
    <t>Accountant</t>
  </si>
  <si>
    <t>Finance</t>
  </si>
  <si>
    <t>Rejected</t>
  </si>
  <si>
    <t>C004</t>
  </si>
  <si>
    <t>Marketing Exec</t>
  </si>
  <si>
    <t>Marketing</t>
  </si>
  <si>
    <t>C005</t>
  </si>
  <si>
    <t>HR Officer</t>
  </si>
  <si>
    <t>C006</t>
  </si>
  <si>
    <t>Sales Rep</t>
  </si>
  <si>
    <t>Sales</t>
  </si>
  <si>
    <t>C007</t>
  </si>
  <si>
    <t>C008</t>
  </si>
  <si>
    <t>C009</t>
  </si>
  <si>
    <t>C010</t>
  </si>
  <si>
    <t>C011</t>
  </si>
  <si>
    <t>C012</t>
  </si>
  <si>
    <t>Employee ID</t>
  </si>
  <si>
    <t>Gender</t>
  </si>
  <si>
    <t>Age</t>
  </si>
  <si>
    <t>Salary</t>
  </si>
  <si>
    <t>Exit Date</t>
  </si>
  <si>
    <t>E001</t>
  </si>
  <si>
    <t>Female</t>
  </si>
  <si>
    <t>Active</t>
  </si>
  <si>
    <t>E002</t>
  </si>
  <si>
    <t>Male</t>
  </si>
  <si>
    <t>E003</t>
  </si>
  <si>
    <t>Left</t>
  </si>
  <si>
    <t>E004</t>
  </si>
  <si>
    <t>E005</t>
  </si>
  <si>
    <t>E006</t>
  </si>
  <si>
    <t>E007</t>
  </si>
  <si>
    <t>E008</t>
  </si>
  <si>
    <t>E009</t>
  </si>
  <si>
    <t>E010</t>
  </si>
  <si>
    <t>E011</t>
  </si>
  <si>
    <t>E012</t>
  </si>
  <si>
    <t>E013</t>
  </si>
  <si>
    <t>E014</t>
  </si>
  <si>
    <t>E015</t>
  </si>
  <si>
    <t>Human Resource</t>
  </si>
  <si>
    <t>Information Technology</t>
  </si>
  <si>
    <t>Time to Hire</t>
  </si>
  <si>
    <t>Application Month</t>
  </si>
  <si>
    <t>Active Count</t>
  </si>
  <si>
    <t>Left Count</t>
  </si>
  <si>
    <t>Hired Count</t>
  </si>
  <si>
    <t>Row Labels</t>
  </si>
  <si>
    <t>Grand Total</t>
  </si>
  <si>
    <t>Count of Employee ID</t>
  </si>
  <si>
    <t>Employees by Department</t>
  </si>
  <si>
    <t>Gender Distribution</t>
  </si>
  <si>
    <t>Average of Salary</t>
  </si>
  <si>
    <t>Average Salary by Department</t>
  </si>
  <si>
    <t>Sum of Hired Count</t>
  </si>
  <si>
    <t>Hiring Trend by Month</t>
  </si>
  <si>
    <t>Average of Time to Hire</t>
  </si>
  <si>
    <t>Average Time to Hire by Department</t>
  </si>
  <si>
    <t>HR RECRIUTMENT &amp; WORKFORCE ANALYTICS DASHBOARD</t>
  </si>
  <si>
    <t>EXCEL DASHBOARD PROJECT | HR DATA ANALYTICS</t>
  </si>
  <si>
    <t>TOTAL EMPLOYEES</t>
  </si>
  <si>
    <t>ATTRITION RATE</t>
  </si>
  <si>
    <t>AVG TIME TO HIRE</t>
  </si>
  <si>
    <t>TOTAL HIRES</t>
  </si>
  <si>
    <t>2024-01</t>
  </si>
  <si>
    <t>2024-02</t>
  </si>
  <si>
    <t>2024-03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</si>
</sst>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d/mm/yyyy;@"/>
  </numFmts>
  <fonts count="8" x14ac:knownFonts="1">
    <font>
      <sz val="12"/>
      <color theme="1"/>
      <name val="Calibri"/>
      <family val="2"/>
      <scheme val="minor"/>
    </font>
    <font>
      <sz val="16"/>
      <color theme="1"/>
      <name val="Calibri"/>
      <family val="2"/>
      <scheme val="minor"/>
    </font>
    <font>
      <b/>
      <sz val="18"/>
      <name val="Calibri"/>
      <family val="2"/>
      <scheme val="minor"/>
    </font>
    <font>
      <sz val="12"/>
      <color theme="1"/>
      <name val="Calibri"/>
      <family val="2"/>
      <scheme val="minor"/>
    </font>
    <font>
      <b/>
      <sz val="16"/>
      <name val="Calibri"/>
      <family val="2"/>
      <scheme val="minor"/>
    </font>
    <font>
      <b/>
      <sz val="14"/>
      <color theme="1"/>
      <name val="Calibri (Body)"/>
    </font>
    <font>
      <b/>
      <sz val="14"/>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6" tint="0.59999389629810485"/>
        <bgColor indexed="64"/>
      </patternFill>
    </fill>
  </fills>
  <borders count="6">
    <border>
      <left/>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31">
    <xf numFmtId="0" fontId="0" fillId="0" borderId="0" xfId="0"/>
    <xf numFmtId="0" fontId="1" fillId="0" borderId="0" xfId="0" applyFont="1"/>
    <xf numFmtId="164" fontId="0" fillId="0" borderId="0" xfId="0" applyNumberFormat="1"/>
    <xf numFmtId="165" fontId="1" fillId="0" borderId="0" xfId="0" applyNumberFormat="1" applyFont="1"/>
    <xf numFmtId="0" fontId="2" fillId="2" borderId="1" xfId="0" applyFont="1" applyFill="1" applyBorder="1"/>
    <xf numFmtId="0" fontId="4" fillId="2" borderId="1" xfId="0" applyFont="1" applyFill="1" applyBorder="1" applyAlignment="1">
      <alignment shrinkToFit="1"/>
    </xf>
    <xf numFmtId="0" fontId="1" fillId="0" borderId="0" xfId="0" applyFont="1" applyAlignment="1">
      <alignment shrinkToFit="1"/>
    </xf>
    <xf numFmtId="1" fontId="4" fillId="2" borderId="1" xfId="0" applyNumberFormat="1" applyFont="1" applyFill="1" applyBorder="1" applyAlignment="1">
      <alignment shrinkToFit="1"/>
    </xf>
    <xf numFmtId="1" fontId="1"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0" borderId="0" xfId="0"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7" fillId="3" borderId="0" xfId="0" applyFont="1" applyFill="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9" fontId="0" fillId="3" borderId="4" xfId="1" applyFont="1" applyFill="1" applyBorder="1" applyAlignment="1">
      <alignment horizontal="center"/>
    </xf>
    <xf numFmtId="9" fontId="0" fillId="3" borderId="5" xfId="1" applyFont="1" applyFill="1" applyBorder="1" applyAlignment="1">
      <alignment horizontal="center"/>
    </xf>
    <xf numFmtId="1" fontId="0" fillId="3" borderId="4" xfId="0" applyNumberFormat="1" applyFill="1" applyBorder="1" applyAlignment="1">
      <alignment horizontal="center"/>
    </xf>
    <xf numFmtId="1" fontId="0" fillId="3" borderId="5" xfId="0" applyNumberFormat="1" applyFill="1" applyBorder="1" applyAlignment="1">
      <alignment horizontal="center"/>
    </xf>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0" fontId="0" fillId="0" borderId="0" xfId="0" applyNumberFormat="1"/>
    <xf numFmtId="0" fontId="0" fillId="3" borderId="0" xfId="0" applyFill="1" applyAlignment="1"/>
    <xf numFmtId="0" fontId="0" fillId="3" borderId="0" xfId="0" applyFill="1" applyBorder="1" applyAlignment="1">
      <alignment horizontal="center"/>
    </xf>
    <xf numFmtId="0" fontId="0" fillId="3" borderId="0" xfId="0" applyFill="1" applyBorder="1"/>
    <xf numFmtId="0" fontId="0" fillId="0" borderId="0" xfId="0" applyBorder="1"/>
  </cellXfs>
  <cellStyles count="2">
    <cellStyle name="Normal" xfId="0" builtinId="0"/>
    <cellStyle name="Percent" xfId="1" builtinId="5"/>
  </cellStyles>
  <dxfs count="40">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numFmt numFmtId="0" formatCode="General"/>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numFmt numFmtId="1" formatCode="0"/>
    </dxf>
    <dxf>
      <font>
        <b val="0"/>
        <i val="0"/>
        <strike val="0"/>
        <condense val="0"/>
        <extend val="0"/>
        <outline val="0"/>
        <shadow val="0"/>
        <u val="none"/>
        <vertAlign val="baseline"/>
        <sz val="16"/>
        <color theme="1"/>
        <name val="Calibri"/>
        <family val="2"/>
        <scheme val="minor"/>
      </font>
      <numFmt numFmtId="1" formatCode="0"/>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border outline="0">
        <top style="thin">
          <color indexed="64"/>
        </top>
      </border>
    </dxf>
    <dxf>
      <font>
        <b val="0"/>
        <i val="0"/>
        <strike val="0"/>
        <condense val="0"/>
        <extend val="0"/>
        <outline val="0"/>
        <shadow val="0"/>
        <u val="none"/>
        <vertAlign val="baseline"/>
        <sz val="16"/>
        <color theme="1"/>
        <name val="Calibri"/>
        <family val="2"/>
        <scheme val="minor"/>
      </font>
    </dxf>
    <dxf>
      <border outline="0">
        <bottom style="thin">
          <color indexed="64"/>
        </bottom>
      </border>
    </dxf>
    <dxf>
      <font>
        <b/>
        <i val="0"/>
        <strike val="0"/>
        <condense val="0"/>
        <extend val="0"/>
        <outline val="0"/>
        <shadow val="0"/>
        <u val="none"/>
        <vertAlign val="baseline"/>
        <sz val="16"/>
        <color auto="1"/>
        <name val="Calibri"/>
        <family val="2"/>
        <scheme val="minor"/>
      </font>
      <fill>
        <patternFill patternType="solid">
          <fgColor indexed="64"/>
          <bgColor theme="8" tint="0.39997558519241921"/>
        </patternFill>
      </fill>
      <alignment horizontal="general" vertical="bottom" textRotation="0" wrapText="0" indent="0" justifyLastLine="0" shrinkToFit="1"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Calibri"/>
        <family val="2"/>
        <scheme val="minor"/>
      </font>
      <numFmt numFmtId="0" formatCode="General"/>
    </dxf>
    <dxf>
      <font>
        <b val="0"/>
        <i val="0"/>
        <strike val="0"/>
        <condense val="0"/>
        <extend val="0"/>
        <outline val="0"/>
        <shadow val="0"/>
        <u val="none"/>
        <vertAlign val="baseline"/>
        <sz val="16"/>
        <color theme="1"/>
        <name val="Calibri"/>
        <family val="2"/>
        <scheme val="minor"/>
      </font>
      <numFmt numFmtId="0" formatCode="General"/>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numFmt numFmtId="165" formatCode="dd/mm/yyyy;@"/>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border outline="0">
        <top style="thin">
          <color indexed="64"/>
        </top>
      </border>
    </dxf>
    <dxf>
      <font>
        <b val="0"/>
        <i val="0"/>
        <strike val="0"/>
        <condense val="0"/>
        <extend val="0"/>
        <outline val="0"/>
        <shadow val="0"/>
        <u val="none"/>
        <vertAlign val="baseline"/>
        <sz val="16"/>
        <color theme="1"/>
        <name val="Calibri"/>
        <family val="2"/>
        <scheme val="minor"/>
      </font>
    </dxf>
    <dxf>
      <border outline="0">
        <bottom style="thin">
          <color indexed="64"/>
        </bottom>
      </border>
    </dxf>
    <dxf>
      <font>
        <b/>
        <i val="0"/>
        <strike val="0"/>
        <condense val="0"/>
        <extend val="0"/>
        <outline val="0"/>
        <shadow val="0"/>
        <u val="none"/>
        <vertAlign val="baseline"/>
        <sz val="18"/>
        <color auto="1"/>
        <name val="Calibri"/>
        <family val="2"/>
        <scheme val="minor"/>
      </font>
      <fill>
        <patternFill patternType="solid">
          <fgColor indexed="64"/>
          <bgColor theme="8" tint="0.3999755851924192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EXCEL WORKSHEET.xlsx]Pivots!PivotTable2</c:name>
    <c:fmtId val="7"/>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t>EMPLOYEES BY DEPARTMENT</a:t>
            </a:r>
          </a:p>
        </c:rich>
      </c:tx>
      <c:layout>
        <c:manualLayout>
          <c:xMode val="edge"/>
          <c:yMode val="edge"/>
          <c:x val="7.0381362123548993E-2"/>
          <c:y val="4.0353089533417402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Pivots!$C$4</c:f>
              <c:strCache>
                <c:ptCount val="1"/>
                <c:pt idx="0">
                  <c:v>Total</c:v>
                </c:pt>
              </c:strCache>
            </c:strRef>
          </c:tx>
          <c:spPr>
            <a:solidFill>
              <a:schemeClr val="accent1"/>
            </a:solidFill>
            <a:ln>
              <a:noFill/>
            </a:ln>
            <a:effectLst/>
          </c:spPr>
          <c:invertIfNegative val="0"/>
          <c:cat>
            <c:strRef>
              <c:f>Pivots!$B$5:$B$10</c:f>
              <c:strCache>
                <c:ptCount val="5"/>
                <c:pt idx="0">
                  <c:v>Finance</c:v>
                </c:pt>
                <c:pt idx="1">
                  <c:v>Human Resource</c:v>
                </c:pt>
                <c:pt idx="2">
                  <c:v>Information Technology</c:v>
                </c:pt>
                <c:pt idx="3">
                  <c:v>Marketing</c:v>
                </c:pt>
                <c:pt idx="4">
                  <c:v>Sales</c:v>
                </c:pt>
              </c:strCache>
            </c:strRef>
          </c:cat>
          <c:val>
            <c:numRef>
              <c:f>Pivots!$C$5:$C$10</c:f>
              <c:numCache>
                <c:formatCode>General</c:formatCode>
                <c:ptCount val="5"/>
                <c:pt idx="0">
                  <c:v>3</c:v>
                </c:pt>
                <c:pt idx="1">
                  <c:v>3</c:v>
                </c:pt>
                <c:pt idx="2">
                  <c:v>4</c:v>
                </c:pt>
                <c:pt idx="3">
                  <c:v>3</c:v>
                </c:pt>
                <c:pt idx="4">
                  <c:v>2</c:v>
                </c:pt>
              </c:numCache>
            </c:numRef>
          </c:val>
          <c:extLst>
            <c:ext xmlns:c16="http://schemas.microsoft.com/office/drawing/2014/chart" uri="{C3380CC4-5D6E-409C-BE32-E72D297353CC}">
              <c16:uniqueId val="{00000000-258A-0D41-8F88-C67CE32B2137}"/>
            </c:ext>
          </c:extLst>
        </c:ser>
        <c:dLbls>
          <c:showLegendKey val="0"/>
          <c:showVal val="0"/>
          <c:showCatName val="0"/>
          <c:showSerName val="0"/>
          <c:showPercent val="0"/>
          <c:showBubbleSize val="0"/>
        </c:dLbls>
        <c:gapWidth val="219"/>
        <c:axId val="1701595776"/>
        <c:axId val="1708922560"/>
      </c:barChart>
      <c:catAx>
        <c:axId val="170159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08922560"/>
        <c:crosses val="autoZero"/>
        <c:auto val="1"/>
        <c:lblAlgn val="ctr"/>
        <c:lblOffset val="100"/>
        <c:noMultiLvlLbl val="0"/>
      </c:catAx>
      <c:valAx>
        <c:axId val="1708922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0159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EXCEL WORKSHEET.xlsx]Pivots!PivotTable4</c:name>
    <c:fmtId val="3"/>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t>GENDER DISTRIBUTION</a:t>
            </a:r>
          </a:p>
        </c:rich>
      </c:tx>
      <c:layout>
        <c:manualLayout>
          <c:xMode val="edge"/>
          <c:yMode val="edge"/>
          <c:x val="0.13520743207494321"/>
          <c:y val="3.589743589743589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Pivots!$G$4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7A-6445-9D06-5C12B5F02E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7A-6445-9D06-5C12B5F02E6F}"/>
              </c:ext>
            </c:extLst>
          </c:dPt>
          <c:cat>
            <c:strRef>
              <c:f>Pivots!$F$5:$F$7</c:f>
              <c:strCache>
                <c:ptCount val="2"/>
                <c:pt idx="0">
                  <c:v>Female</c:v>
                </c:pt>
                <c:pt idx="1">
                  <c:v>Male</c:v>
                </c:pt>
              </c:strCache>
            </c:strRef>
          </c:cat>
          <c:val>
            <c:numRef>
              <c:f>Pivots!$G$5:$G$7</c:f>
              <c:numCache>
                <c:formatCode>General</c:formatCode>
                <c:ptCount val="2"/>
                <c:pt idx="0">
                  <c:v>8</c:v>
                </c:pt>
                <c:pt idx="1">
                  <c:v>7</c:v>
                </c:pt>
              </c:numCache>
            </c:numRef>
          </c:val>
          <c:extLst>
            <c:ext xmlns:c16="http://schemas.microsoft.com/office/drawing/2014/chart" uri="{C3380CC4-5D6E-409C-BE32-E72D297353CC}">
              <c16:uniqueId val="{00000004-8D7A-6445-9D06-5C12B5F02E6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EXCEL WORKSHEET.xlsx]Pivots!PivotTable5</c:name>
    <c:fmtId val="2"/>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t>HIRING TREND BY MONTH</a:t>
            </a:r>
          </a:p>
        </c:rich>
      </c:tx>
      <c:layout>
        <c:manualLayout>
          <c:xMode val="edge"/>
          <c:yMode val="edge"/>
          <c:x val="0.16154388676875514"/>
          <c:y val="3.966005665722379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Pivots!$G$16</c:f>
              <c:strCache>
                <c:ptCount val="1"/>
                <c:pt idx="0">
                  <c:v>Total</c:v>
                </c:pt>
              </c:strCache>
            </c:strRef>
          </c:tx>
          <c:spPr>
            <a:ln w="28575" cap="rnd">
              <a:solidFill>
                <a:schemeClr val="accent1"/>
              </a:solidFill>
              <a:round/>
            </a:ln>
            <a:effectLst/>
          </c:spPr>
          <c:marker>
            <c:symbol val="none"/>
          </c:marker>
          <c:cat>
            <c:strRef>
              <c:f>Pivots!$F$17:$F$20</c:f>
              <c:strCache>
                <c:ptCount val="3"/>
                <c:pt idx="0">
                  <c:v>2024-01</c:v>
                </c:pt>
                <c:pt idx="1">
                  <c:v>2024-02</c:v>
                </c:pt>
                <c:pt idx="2">
                  <c:v>2024-03</c:v>
                </c:pt>
              </c:strCache>
            </c:strRef>
          </c:cat>
          <c:val>
            <c:numRef>
              <c:f>Pivots!$G$17:$G$20</c:f>
              <c:numCache>
                <c:formatCode>General</c:formatCode>
                <c:ptCount val="3"/>
                <c:pt idx="0">
                  <c:v>2</c:v>
                </c:pt>
                <c:pt idx="1">
                  <c:v>2</c:v>
                </c:pt>
                <c:pt idx="2">
                  <c:v>4</c:v>
                </c:pt>
              </c:numCache>
            </c:numRef>
          </c:val>
          <c:smooth val="0"/>
          <c:extLst>
            <c:ext xmlns:c16="http://schemas.microsoft.com/office/drawing/2014/chart" uri="{C3380CC4-5D6E-409C-BE32-E72D297353CC}">
              <c16:uniqueId val="{00000000-F4DC-E140-A68F-985BEABC1CD3}"/>
            </c:ext>
          </c:extLst>
        </c:ser>
        <c:dLbls>
          <c:showLegendKey val="0"/>
          <c:showVal val="0"/>
          <c:showCatName val="0"/>
          <c:showSerName val="0"/>
          <c:showPercent val="0"/>
          <c:showBubbleSize val="0"/>
        </c:dLbls>
        <c:smooth val="0"/>
        <c:axId val="1934313216"/>
        <c:axId val="1937596288"/>
      </c:lineChart>
      <c:catAx>
        <c:axId val="193431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37596288"/>
        <c:crosses val="autoZero"/>
        <c:auto val="1"/>
        <c:lblAlgn val="ctr"/>
        <c:lblOffset val="100"/>
        <c:noMultiLvlLbl val="0"/>
      </c:catAx>
      <c:valAx>
        <c:axId val="193759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343132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EXCEL WORKSHEET.xlsx]Pivots!PivotTable6</c:name>
    <c:fmtId val="2"/>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t>AVERAGE TIME TO HIRE BY DEPARTMENT</a:t>
            </a:r>
          </a:p>
        </c:rich>
      </c:tx>
      <c:layout>
        <c:manualLayout>
          <c:xMode val="edge"/>
          <c:yMode val="edge"/>
          <c:x val="0.14473312377454797"/>
          <c:y val="3.3946251768033946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Pivots!$C$27</c:f>
              <c:strCache>
                <c:ptCount val="1"/>
                <c:pt idx="0">
                  <c:v>Total</c:v>
                </c:pt>
              </c:strCache>
            </c:strRef>
          </c:tx>
          <c:spPr>
            <a:solidFill>
              <a:schemeClr val="accent1"/>
            </a:solidFill>
            <a:ln>
              <a:noFill/>
            </a:ln>
            <a:effectLst/>
          </c:spPr>
          <c:invertIfNegative val="0"/>
          <c:cat>
            <c:strRef>
              <c:f>Pivots!$B$28:$B$33</c:f>
              <c:strCache>
                <c:ptCount val="5"/>
                <c:pt idx="0">
                  <c:v>Finance</c:v>
                </c:pt>
                <c:pt idx="1">
                  <c:v>Human Resource</c:v>
                </c:pt>
                <c:pt idx="2">
                  <c:v>Information Technology</c:v>
                </c:pt>
                <c:pt idx="3">
                  <c:v>Marketing</c:v>
                </c:pt>
                <c:pt idx="4">
                  <c:v>Sales</c:v>
                </c:pt>
              </c:strCache>
            </c:strRef>
          </c:cat>
          <c:val>
            <c:numRef>
              <c:f>Pivots!$C$28:$C$33</c:f>
              <c:numCache>
                <c:formatCode>General</c:formatCode>
                <c:ptCount val="5"/>
                <c:pt idx="0">
                  <c:v>24</c:v>
                </c:pt>
                <c:pt idx="1">
                  <c:v>18</c:v>
                </c:pt>
                <c:pt idx="2">
                  <c:v>23.5</c:v>
                </c:pt>
                <c:pt idx="3">
                  <c:v>20</c:v>
                </c:pt>
                <c:pt idx="4">
                  <c:v>18</c:v>
                </c:pt>
              </c:numCache>
            </c:numRef>
          </c:val>
          <c:extLst>
            <c:ext xmlns:c16="http://schemas.microsoft.com/office/drawing/2014/chart" uri="{C3380CC4-5D6E-409C-BE32-E72D297353CC}">
              <c16:uniqueId val="{00000000-F11A-3C48-A984-F2BE32446F41}"/>
            </c:ext>
          </c:extLst>
        </c:ser>
        <c:dLbls>
          <c:showLegendKey val="0"/>
          <c:showVal val="0"/>
          <c:showCatName val="0"/>
          <c:showSerName val="0"/>
          <c:showPercent val="0"/>
          <c:showBubbleSize val="0"/>
        </c:dLbls>
        <c:gapWidth val="219"/>
        <c:overlap val="-27"/>
        <c:axId val="1925911360"/>
        <c:axId val="1935294464"/>
      </c:barChart>
      <c:catAx>
        <c:axId val="192591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35294464"/>
        <c:crosses val="autoZero"/>
        <c:auto val="1"/>
        <c:lblAlgn val="ctr"/>
        <c:lblOffset val="100"/>
        <c:noMultiLvlLbl val="0"/>
      </c:catAx>
      <c:valAx>
        <c:axId val="193529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2591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381000</xdr:colOff>
      <xdr:row>15</xdr:row>
      <xdr:rowOff>63500</xdr:rowOff>
    </xdr:from>
    <xdr:to>
      <xdr:col>9</xdr:col>
      <xdr:colOff>558800</xdr:colOff>
      <xdr:row>28</xdr:row>
      <xdr:rowOff>3172</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80E71B80-BCD3-BC89-76D6-F1EB3628CC4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31100" y="298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355600</xdr:colOff>
      <xdr:row>15</xdr:row>
      <xdr:rowOff>152400</xdr:rowOff>
    </xdr:from>
    <xdr:to>
      <xdr:col>12</xdr:col>
      <xdr:colOff>533400</xdr:colOff>
      <xdr:row>28</xdr:row>
      <xdr:rowOff>92072</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A91D2E8D-4C03-104E-6AD5-901091AD8C3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982200" y="3073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165100</xdr:colOff>
      <xdr:row>1</xdr:row>
      <xdr:rowOff>38100</xdr:rowOff>
    </xdr:from>
    <xdr:to>
      <xdr:col>10</xdr:col>
      <xdr:colOff>368300</xdr:colOff>
      <xdr:row>13</xdr:row>
      <xdr:rowOff>142872</xdr:rowOff>
    </xdr:to>
    <mc:AlternateContent xmlns:mc="http://schemas.openxmlformats.org/markup-compatibility/2006" xmlns:a14="http://schemas.microsoft.com/office/drawing/2010/main">
      <mc:Choice Requires="a14">
        <xdr:graphicFrame macro="">
          <xdr:nvGraphicFramePr>
            <xdr:cNvPr id="5" name="Application Month">
              <a:extLst>
                <a:ext uri="{FF2B5EF4-FFF2-40B4-BE49-F238E27FC236}">
                  <a16:creationId xmlns:a16="http://schemas.microsoft.com/office/drawing/2014/main" id="{4C8779BC-1F25-ED9A-65B5-E0731D3C608C}"/>
                </a:ext>
              </a:extLst>
            </xdr:cNvPr>
            <xdr:cNvGraphicFramePr/>
          </xdr:nvGraphicFramePr>
          <xdr:xfrm>
            <a:off x="0" y="0"/>
            <a:ext cx="0" cy="0"/>
          </xdr:xfrm>
          <a:graphic>
            <a:graphicData uri="http://schemas.microsoft.com/office/drawing/2010/slicer">
              <sle:slicer xmlns:sle="http://schemas.microsoft.com/office/drawing/2010/slicer" name="Application Month"/>
            </a:graphicData>
          </a:graphic>
        </xdr:graphicFrame>
      </mc:Choice>
      <mc:Fallback xmlns="">
        <xdr:sp macro="" textlink="">
          <xdr:nvSpPr>
            <xdr:cNvPr id="0" name=""/>
            <xdr:cNvSpPr>
              <a:spLocks noTextEdit="1"/>
            </xdr:cNvSpPr>
          </xdr:nvSpPr>
          <xdr:spPr>
            <a:xfrm>
              <a:off x="8166100" y="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241139</xdr:colOff>
      <xdr:row>10</xdr:row>
      <xdr:rowOff>190500</xdr:rowOff>
    </xdr:from>
    <xdr:to>
      <xdr:col>5</xdr:col>
      <xdr:colOff>647701</xdr:colOff>
      <xdr:row>23</xdr:row>
      <xdr:rowOff>25400</xdr:rowOff>
    </xdr:to>
    <xdr:graphicFrame macro="">
      <xdr:nvGraphicFramePr>
        <xdr:cNvPr id="7" name="Chart 6">
          <a:extLst>
            <a:ext uri="{FF2B5EF4-FFF2-40B4-BE49-F238E27FC236}">
              <a16:creationId xmlns:a16="http://schemas.microsoft.com/office/drawing/2014/main" id="{6514B198-E829-1844-8A12-1C7B13B19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12699</xdr:colOff>
      <xdr:row>11</xdr:row>
      <xdr:rowOff>12700</xdr:rowOff>
    </xdr:from>
    <xdr:to>
      <xdr:col>10</xdr:col>
      <xdr:colOff>626533</xdr:colOff>
      <xdr:row>23</xdr:row>
      <xdr:rowOff>12700</xdr:rowOff>
    </xdr:to>
    <xdr:graphicFrame macro="">
      <xdr:nvGraphicFramePr>
        <xdr:cNvPr id="9" name="Chart 8">
          <a:extLst>
            <a:ext uri="{FF2B5EF4-FFF2-40B4-BE49-F238E27FC236}">
              <a16:creationId xmlns:a16="http://schemas.microsoft.com/office/drawing/2014/main" id="{37C3D2FD-8B7C-F44E-8843-A6106D5E7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220135</xdr:colOff>
      <xdr:row>24</xdr:row>
      <xdr:rowOff>198967</xdr:rowOff>
    </xdr:from>
    <xdr:to>
      <xdr:col>5</xdr:col>
      <xdr:colOff>613835</xdr:colOff>
      <xdr:row>35</xdr:row>
      <xdr:rowOff>173567</xdr:rowOff>
    </xdr:to>
    <xdr:graphicFrame macro="">
      <xdr:nvGraphicFramePr>
        <xdr:cNvPr id="13" name="Chart 12">
          <a:extLst>
            <a:ext uri="{FF2B5EF4-FFF2-40B4-BE49-F238E27FC236}">
              <a16:creationId xmlns:a16="http://schemas.microsoft.com/office/drawing/2014/main" id="{75B816F4-B42C-EB42-92E3-66E0A7AF8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32152</xdr:colOff>
      <xdr:row>25</xdr:row>
      <xdr:rowOff>25400</xdr:rowOff>
    </xdr:from>
    <xdr:to>
      <xdr:col>10</xdr:col>
      <xdr:colOff>609600</xdr:colOff>
      <xdr:row>36</xdr:row>
      <xdr:rowOff>0</xdr:rowOff>
    </xdr:to>
    <xdr:graphicFrame macro="">
      <xdr:nvGraphicFramePr>
        <xdr:cNvPr id="14" name="Chart 13">
          <a:extLst>
            <a:ext uri="{FF2B5EF4-FFF2-40B4-BE49-F238E27FC236}">
              <a16:creationId xmlns:a16="http://schemas.microsoft.com/office/drawing/2014/main" id="{D24AAFAB-38B1-574B-B67D-2F0FB9C00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337595</xdr:colOff>
      <xdr:row>36</xdr:row>
      <xdr:rowOff>145648</xdr:rowOff>
    </xdr:from>
    <xdr:to>
      <xdr:col>4</xdr:col>
      <xdr:colOff>28133</xdr:colOff>
      <xdr:row>45</xdr:row>
      <xdr:rowOff>176835</xdr:rowOff>
    </xdr:to>
    <mc:AlternateContent xmlns:mc="http://schemas.openxmlformats.org/markup-compatibility/2006">
      <mc:Choice xmlns:a14="http://schemas.microsoft.com/office/drawing/2010/main" Requires="a14">
        <xdr:graphicFrame macro="">
          <xdr:nvGraphicFramePr>
            <xdr:cNvPr id="2" name="Department 1">
              <a:extLst>
                <a:ext uri="{FF2B5EF4-FFF2-40B4-BE49-F238E27FC236}">
                  <a16:creationId xmlns:a16="http://schemas.microsoft.com/office/drawing/2014/main" id="{E5C325A2-6BD5-214C-BDE1-396E055042D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639747" y="7797800"/>
              <a:ext cx="2198386" cy="1912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208987</xdr:colOff>
      <xdr:row>36</xdr:row>
      <xdr:rowOff>119846</xdr:rowOff>
    </xdr:from>
    <xdr:to>
      <xdr:col>7</xdr:col>
      <xdr:colOff>64304</xdr:colOff>
      <xdr:row>45</xdr:row>
      <xdr:rowOff>176835</xdr:rowOff>
    </xdr:to>
    <mc:AlternateContent xmlns:mc="http://schemas.openxmlformats.org/markup-compatibility/2006">
      <mc:Choice xmlns:a14="http://schemas.microsoft.com/office/drawing/2010/main" Requires="a14">
        <xdr:graphicFrame macro="">
          <xdr:nvGraphicFramePr>
            <xdr:cNvPr id="3" name="Status 1">
              <a:extLst>
                <a:ext uri="{FF2B5EF4-FFF2-40B4-BE49-F238E27FC236}">
                  <a16:creationId xmlns:a16="http://schemas.microsoft.com/office/drawing/2014/main" id="{2E289A50-B3B7-E140-BD2D-400F893A92E5}"/>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4018987" y="7771998"/>
              <a:ext cx="2314937" cy="193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266459</xdr:colOff>
      <xdr:row>36</xdr:row>
      <xdr:rowOff>116671</xdr:rowOff>
    </xdr:from>
    <xdr:to>
      <xdr:col>10</xdr:col>
      <xdr:colOff>456958</xdr:colOff>
      <xdr:row>45</xdr:row>
      <xdr:rowOff>176835</xdr:rowOff>
    </xdr:to>
    <mc:AlternateContent xmlns:mc="http://schemas.openxmlformats.org/markup-compatibility/2006">
      <mc:Choice xmlns:a14="http://schemas.microsoft.com/office/drawing/2010/main" Requires="a14">
        <xdr:graphicFrame macro="">
          <xdr:nvGraphicFramePr>
            <xdr:cNvPr id="4" name="Application Month 1">
              <a:extLst>
                <a:ext uri="{FF2B5EF4-FFF2-40B4-BE49-F238E27FC236}">
                  <a16:creationId xmlns:a16="http://schemas.microsoft.com/office/drawing/2014/main" id="{87E11F74-5C06-AB46-8B26-2F9D5B21CFB0}"/>
                </a:ext>
              </a:extLst>
            </xdr:cNvPr>
            <xdr:cNvGraphicFramePr/>
          </xdr:nvGraphicFramePr>
          <xdr:xfrm>
            <a:off x="0" y="0"/>
            <a:ext cx="0" cy="0"/>
          </xdr:xfrm>
          <a:graphic>
            <a:graphicData uri="http://schemas.microsoft.com/office/drawing/2010/slicer">
              <sle:slicer xmlns:sle="http://schemas.microsoft.com/office/drawing/2010/slicer" name="Application Month 1"/>
            </a:graphicData>
          </a:graphic>
        </xdr:graphicFrame>
      </mc:Choice>
      <mc:Fallback>
        <xdr:sp macro="" textlink="">
          <xdr:nvSpPr>
            <xdr:cNvPr id="0" name=""/>
            <xdr:cNvSpPr>
              <a:spLocks noTextEdit="1"/>
            </xdr:cNvSpPr>
          </xdr:nvSpPr>
          <xdr:spPr>
            <a:xfrm>
              <a:off x="6536079" y="7768823"/>
              <a:ext cx="2650120" cy="194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0</xdr:colOff>
      <xdr:row>46</xdr:row>
      <xdr:rowOff>33867</xdr:rowOff>
    </xdr:from>
    <xdr:ext cx="8348133" cy="761999"/>
    <xdr:sp macro="" textlink="">
      <xdr:nvSpPr>
        <xdr:cNvPr id="6" name="TextBox 5">
          <a:extLst>
            <a:ext uri="{FF2B5EF4-FFF2-40B4-BE49-F238E27FC236}">
              <a16:creationId xmlns:a16="http://schemas.microsoft.com/office/drawing/2014/main" id="{EE4B3F6B-8E3B-1E12-C6D2-CB413753AEAD}"/>
            </a:ext>
          </a:extLst>
        </xdr:cNvPr>
        <xdr:cNvSpPr txBox="1"/>
      </xdr:nvSpPr>
      <xdr:spPr>
        <a:xfrm>
          <a:off x="1303867" y="9550400"/>
          <a:ext cx="8348133" cy="761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50"/>
            <a:t>Key insights:</a:t>
          </a:r>
          <a:r>
            <a:rPr lang="en-US" sz="1250" baseline="0"/>
            <a:t> </a:t>
          </a:r>
          <a:r>
            <a:rPr lang="en-US" sz="1250"/>
            <a:t>1. IT is the largest department with 4 employees.</a:t>
          </a:r>
          <a:r>
            <a:rPr lang="en-US" sz="1250" baseline="0"/>
            <a:t> </a:t>
          </a:r>
          <a:r>
            <a:rPr lang="en-US" sz="1250"/>
            <a:t>2. Finance has the highest attrition: 2 of its 3 employees have left.</a:t>
          </a:r>
          <a:r>
            <a:rPr lang="en-US" sz="1250" baseline="0"/>
            <a:t> </a:t>
          </a:r>
          <a:r>
            <a:rPr lang="en-US" sz="1250"/>
            <a:t>3. Hiring grew from 2 hires in January to 4 in March 2024.</a:t>
          </a:r>
          <a:r>
            <a:rPr lang="en-US" sz="1250" baseline="0"/>
            <a:t> </a:t>
          </a:r>
          <a:r>
            <a:rPr lang="en-US" sz="1250"/>
            <a:t>4. HR and Sales hire fastest at 18 days. Finance is slowest at 24 days.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DI" refreshedDate="46147.000751967593" createdVersion="8" refreshedVersion="8" minRefreshableVersion="3" recordCount="15" xr:uid="{E45B48A7-2AFA-6D4C-9309-EE0220B3173A}">
  <cacheSource type="worksheet">
    <worksheetSource name="Employee"/>
  </cacheSource>
  <cacheFields count="10">
    <cacheField name="Employee ID" numFmtId="0">
      <sharedItems count="15">
        <s v="E001"/>
        <s v="E002"/>
        <s v="E003"/>
        <s v="E004"/>
        <s v="E005"/>
        <s v="E006"/>
        <s v="E007"/>
        <s v="E008"/>
        <s v="E009"/>
        <s v="E010"/>
        <s v="E011"/>
        <s v="E012"/>
        <s v="E013"/>
        <s v="E014"/>
        <s v="E015"/>
      </sharedItems>
    </cacheField>
    <cacheField name="Department" numFmtId="0">
      <sharedItems count="5">
        <s v="Human Resource"/>
        <s v="Information Technology"/>
        <s v="Finance"/>
        <s v="Marketing"/>
        <s v="Sales"/>
      </sharedItems>
    </cacheField>
    <cacheField name="Gender" numFmtId="0">
      <sharedItems count="2">
        <s v="Female"/>
        <s v="Male"/>
      </sharedItems>
    </cacheField>
    <cacheField name="Age" numFmtId="0">
      <sharedItems containsSemiMixedTypes="0" containsString="0" containsNumber="1" containsInteger="1" minValue="26" maxValue="45"/>
    </cacheField>
    <cacheField name="Hire Date" numFmtId="165">
      <sharedItems containsSemiMixedTypes="0" containsNonDate="0" containsDate="1" containsString="0" minDate="2018-12-12T00:00:00" maxDate="2024-02-02T00:00:00"/>
    </cacheField>
    <cacheField name="Salary" numFmtId="0">
      <sharedItems containsSemiMixedTypes="0" containsString="0" containsNumber="1" containsInteger="1" minValue="38000" maxValue="68000"/>
    </cacheField>
    <cacheField name="Status" numFmtId="0">
      <sharedItems count="2">
        <s v="Active"/>
        <s v="Left"/>
      </sharedItems>
    </cacheField>
    <cacheField name="Exit Date" numFmtId="165">
      <sharedItems containsNonDate="0" containsDate="1" containsString="0" containsBlank="1" minDate="2023-11-20T00:00:00" maxDate="2024-02-11T00:00:00"/>
    </cacheField>
    <cacheField name="Active Count" numFmtId="0">
      <sharedItems containsSemiMixedTypes="0" containsString="0" containsNumber="1" containsInteger="1" minValue="0" maxValue="1"/>
    </cacheField>
    <cacheField name="Left Coun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443186249"/>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DI" refreshedDate="46324.634748379627" missingItemsLimit="0" createdVersion="8" refreshedVersion="8" minRefreshableVersion="3" recordCount="12" xr:uid="{BABED7E6-B2BE-8E4B-881E-9A9E72E21CCB}">
  <cacheSource type="worksheet">
    <worksheetSource name="Recruitment"/>
  </cacheSource>
  <cacheFields count="11">
    <cacheField name="Candidate ID" numFmtId="0">
      <sharedItems/>
    </cacheField>
    <cacheField name="Role" numFmtId="0">
      <sharedItems/>
    </cacheField>
    <cacheField name="Department" numFmtId="0">
      <sharedItems count="5">
        <s v="Human Resource"/>
        <s v="Information Technology"/>
        <s v="Finance"/>
        <s v="Marketing"/>
        <s v="Sales"/>
      </sharedItems>
    </cacheField>
    <cacheField name="Application Date" numFmtId="165">
      <sharedItems containsSemiMixedTypes="0" containsNonDate="0" containsDate="1" containsString="0" minDate="2024-01-05T00:00:00" maxDate="2024-03-19T00:00:00"/>
    </cacheField>
    <cacheField name="Interview Date" numFmtId="165">
      <sharedItems containsSemiMixedTypes="0" containsNonDate="0" containsDate="1" containsString="0" minDate="2024-01-10T00:00:00" maxDate="2024-03-26T00:00:00"/>
    </cacheField>
    <cacheField name="Offer Date" numFmtId="165">
      <sharedItems containsSemiMixedTypes="0" containsNonDate="0" containsDate="1" containsString="0" minDate="2024-01-15T00:00:00" maxDate="2024-04-02T00:00:00"/>
    </cacheField>
    <cacheField name="Hire Date" numFmtId="165">
      <sharedItems containsNonDate="0" containsDate="1" containsString="0" containsBlank="1" minDate="2024-01-20T00:00:00" maxDate="2024-04-11T00:00:00"/>
    </cacheField>
    <cacheField name="Status" numFmtId="0">
      <sharedItems/>
    </cacheField>
    <cacheField name="Time to Hire" numFmtId="1">
      <sharedItems containsMixedTypes="1" containsNumber="1" containsInteger="1" minValue="15" maxValue="24"/>
    </cacheField>
    <cacheField name="Application Month" numFmtId="165">
      <sharedItems count="3">
        <s v="2024-01"/>
        <s v="2024-02"/>
        <s v="2024-03"/>
      </sharedItems>
    </cacheField>
    <cacheField name="Hired Coun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7723142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n v="29"/>
    <d v="2022-03-15T00:00:00"/>
    <n v="42000"/>
    <x v="0"/>
    <m/>
    <n v="1"/>
    <n v="0"/>
  </r>
  <r>
    <x v="1"/>
    <x v="1"/>
    <x v="1"/>
    <n v="34"/>
    <d v="2021-07-10T00:00:00"/>
    <n v="55000"/>
    <x v="0"/>
    <m/>
    <n v="1"/>
    <n v="0"/>
  </r>
  <r>
    <x v="2"/>
    <x v="2"/>
    <x v="0"/>
    <n v="41"/>
    <d v="2020-01-20T00:00:00"/>
    <n v="60000"/>
    <x v="1"/>
    <d v="2024-02-10T00:00:00"/>
    <n v="0"/>
    <n v="1"/>
  </r>
  <r>
    <x v="3"/>
    <x v="3"/>
    <x v="1"/>
    <n v="27"/>
    <d v="2023-06-01T00:00:00"/>
    <n v="38000"/>
    <x v="0"/>
    <m/>
    <n v="1"/>
    <n v="0"/>
  </r>
  <r>
    <x v="4"/>
    <x v="1"/>
    <x v="0"/>
    <n v="31"/>
    <d v="2022-09-12T00:00:00"/>
    <n v="52000"/>
    <x v="0"/>
    <m/>
    <n v="1"/>
    <n v="0"/>
  </r>
  <r>
    <x v="5"/>
    <x v="0"/>
    <x v="1"/>
    <n v="36"/>
    <d v="2021-11-05T00:00:00"/>
    <n v="45000"/>
    <x v="1"/>
    <d v="2023-12-01T00:00:00"/>
    <n v="0"/>
    <n v="1"/>
  </r>
  <r>
    <x v="6"/>
    <x v="4"/>
    <x v="0"/>
    <n v="30"/>
    <d v="2023-01-18T00:00:00"/>
    <n v="40000"/>
    <x v="0"/>
    <m/>
    <n v="1"/>
    <n v="0"/>
  </r>
  <r>
    <x v="7"/>
    <x v="2"/>
    <x v="1"/>
    <n v="45"/>
    <d v="2019-04-23T00:00:00"/>
    <n v="65000"/>
    <x v="0"/>
    <m/>
    <n v="1"/>
    <n v="0"/>
  </r>
  <r>
    <x v="8"/>
    <x v="1"/>
    <x v="1"/>
    <n v="28"/>
    <d v="2023-08-14T00:00:00"/>
    <n v="48000"/>
    <x v="0"/>
    <m/>
    <n v="1"/>
    <n v="0"/>
  </r>
  <r>
    <x v="9"/>
    <x v="3"/>
    <x v="0"/>
    <n v="33"/>
    <d v="2022-05-30T00:00:00"/>
    <n v="41000"/>
    <x v="1"/>
    <d v="2024-01-15T00:00:00"/>
    <n v="0"/>
    <n v="1"/>
  </r>
  <r>
    <x v="10"/>
    <x v="4"/>
    <x v="1"/>
    <n v="39"/>
    <d v="2020-10-10T00:00:00"/>
    <n v="47000"/>
    <x v="0"/>
    <m/>
    <n v="1"/>
    <n v="0"/>
  </r>
  <r>
    <x v="11"/>
    <x v="0"/>
    <x v="0"/>
    <n v="26"/>
    <d v="2024-02-01T00:00:00"/>
    <n v="39000"/>
    <x v="0"/>
    <m/>
    <n v="1"/>
    <n v="0"/>
  </r>
  <r>
    <x v="12"/>
    <x v="1"/>
    <x v="0"/>
    <n v="35"/>
    <d v="2021-03-25T00:00:00"/>
    <n v="57000"/>
    <x v="0"/>
    <m/>
    <n v="1"/>
    <n v="0"/>
  </r>
  <r>
    <x v="13"/>
    <x v="2"/>
    <x v="1"/>
    <n v="42"/>
    <d v="2018-12-12T00:00:00"/>
    <n v="68000"/>
    <x v="1"/>
    <d v="2023-11-20T00:00:00"/>
    <n v="0"/>
    <n v="1"/>
  </r>
  <r>
    <x v="14"/>
    <x v="3"/>
    <x v="0"/>
    <n v="29"/>
    <d v="2023-07-07T00:00:00"/>
    <n v="42000"/>
    <x v="0"/>
    <m/>
    <n v="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C001"/>
    <s v="HR Assistant"/>
    <x v="0"/>
    <d v="2024-01-05T00:00:00"/>
    <d v="2024-01-10T00:00:00"/>
    <d v="2024-01-15T00:00:00"/>
    <d v="2024-01-20T00:00:00"/>
    <s v="Hired"/>
    <n v="15"/>
    <x v="0"/>
    <n v="1"/>
  </r>
  <r>
    <s v="C002"/>
    <s v="Software Engineer"/>
    <x v="1"/>
    <d v="2024-01-08T00:00:00"/>
    <d v="2024-01-15T00:00:00"/>
    <d v="2024-01-25T00:00:00"/>
    <d v="2024-02-01T00:00:00"/>
    <s v="Hired"/>
    <n v="24"/>
    <x v="0"/>
    <n v="1"/>
  </r>
  <r>
    <s v="C003"/>
    <s v="Accountant"/>
    <x v="2"/>
    <d v="2024-01-12T00:00:00"/>
    <d v="2024-01-20T00:00:00"/>
    <d v="2024-01-28T00:00:00"/>
    <m/>
    <s v="Rejected"/>
    <s v=""/>
    <x v="0"/>
    <n v="0"/>
  </r>
  <r>
    <s v="C004"/>
    <s v="Marketing Exec"/>
    <x v="3"/>
    <d v="2024-02-01T00:00:00"/>
    <d v="2024-02-05T00:00:00"/>
    <d v="2024-02-10T00:00:00"/>
    <d v="2024-02-18T00:00:00"/>
    <s v="Hired"/>
    <n v="17"/>
    <x v="1"/>
    <n v="1"/>
  </r>
  <r>
    <s v="C005"/>
    <s v="HR Officer"/>
    <x v="0"/>
    <d v="2024-02-10T00:00:00"/>
    <d v="2024-02-15T00:00:00"/>
    <d v="2024-02-20T00:00:00"/>
    <m/>
    <s v="Rejected"/>
    <s v=""/>
    <x v="1"/>
    <n v="0"/>
  </r>
  <r>
    <s v="C006"/>
    <s v="Sales Rep"/>
    <x v="4"/>
    <d v="2024-02-12T00:00:00"/>
    <d v="2024-02-18T00:00:00"/>
    <d v="2024-02-25T00:00:00"/>
    <d v="2024-03-01T00:00:00"/>
    <s v="Hired"/>
    <n v="18"/>
    <x v="1"/>
    <n v="1"/>
  </r>
  <r>
    <s v="C007"/>
    <s v="Software Engineer"/>
    <x v="1"/>
    <d v="2024-02-20T00:00:00"/>
    <d v="2024-02-28T00:00:00"/>
    <d v="2024-03-05T00:00:00"/>
    <m/>
    <s v="Rejected"/>
    <s v=""/>
    <x v="1"/>
    <n v="0"/>
  </r>
  <r>
    <s v="C008"/>
    <s v="Accountant"/>
    <x v="2"/>
    <d v="2024-03-01T00:00:00"/>
    <d v="2024-03-07T00:00:00"/>
    <d v="2024-03-15T00:00:00"/>
    <d v="2024-03-25T00:00:00"/>
    <s v="Hired"/>
    <n v="24"/>
    <x v="2"/>
    <n v="1"/>
  </r>
  <r>
    <s v="C009"/>
    <s v="Marketing Exec"/>
    <x v="3"/>
    <d v="2024-03-05T00:00:00"/>
    <d v="2024-03-10T00:00:00"/>
    <d v="2024-03-18T00:00:00"/>
    <d v="2024-03-28T00:00:00"/>
    <s v="Hired"/>
    <n v="23"/>
    <x v="2"/>
    <n v="1"/>
  </r>
  <r>
    <s v="C010"/>
    <s v="Sales Rep"/>
    <x v="4"/>
    <d v="2024-03-10T00:00:00"/>
    <d v="2024-03-15T00:00:00"/>
    <d v="2024-03-22T00:00:00"/>
    <m/>
    <s v="Rejected"/>
    <s v=""/>
    <x v="2"/>
    <n v="0"/>
  </r>
  <r>
    <s v="C011"/>
    <s v="HR Assistant"/>
    <x v="0"/>
    <d v="2024-03-15T00:00:00"/>
    <d v="2024-03-20T00:00:00"/>
    <d v="2024-03-28T00:00:00"/>
    <d v="2024-04-05T00:00:00"/>
    <s v="Hired"/>
    <n v="21"/>
    <x v="2"/>
    <n v="1"/>
  </r>
  <r>
    <s v="C012"/>
    <s v="Software Engineer"/>
    <x v="1"/>
    <d v="2024-03-18T00:00:00"/>
    <d v="2024-03-25T00:00:00"/>
    <d v="2024-04-01T00:00:00"/>
    <d v="2024-04-10T00:00:00"/>
    <s v="Hired"/>
    <n v="23"/>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C1F8AF-17E8-984B-A4E8-36BD27DB67F3}"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6:G20" firstHeaderRow="1" firstDataRow="1" firstDataCol="1"/>
  <pivotFields count="11">
    <pivotField showAll="0"/>
    <pivotField showAll="0"/>
    <pivotField showAll="0"/>
    <pivotField numFmtId="165" showAll="0"/>
    <pivotField numFmtId="165" showAll="0"/>
    <pivotField numFmtId="165" showAll="0"/>
    <pivotField showAll="0"/>
    <pivotField showAll="0"/>
    <pivotField showAll="0"/>
    <pivotField axis="axisRow" showAll="0" sortType="ascending">
      <items count="4">
        <item x="0"/>
        <item x="1"/>
        <item x="2"/>
        <item t="default"/>
      </items>
    </pivotField>
    <pivotField dataField="1" showAll="0"/>
  </pivotFields>
  <rowFields count="1">
    <field x="9"/>
  </rowFields>
  <rowItems count="4">
    <i>
      <x/>
    </i>
    <i>
      <x v="1"/>
    </i>
    <i>
      <x v="2"/>
    </i>
    <i t="grand">
      <x/>
    </i>
  </rowItems>
  <colItems count="1">
    <i/>
  </colItems>
  <dataFields count="1">
    <dataField name="Sum of Hired Count"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EAF716-6D0A-8444-9151-9089F49117B4}"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4:G7" firstHeaderRow="1" firstDataRow="1" firstDataCol="1"/>
  <pivotFields count="10">
    <pivotField dataField="1" showAll="0"/>
    <pivotField showAll="0">
      <items count="6">
        <item x="2"/>
        <item x="0"/>
        <item x="1"/>
        <item x="3"/>
        <item x="4"/>
        <item t="default"/>
      </items>
    </pivotField>
    <pivotField axis="axisRow" showAll="0">
      <items count="3">
        <item x="0"/>
        <item x="1"/>
        <item t="default"/>
      </items>
    </pivotField>
    <pivotField showAll="0"/>
    <pivotField numFmtId="165" showAll="0"/>
    <pivotField showAll="0"/>
    <pivotField showAll="0">
      <items count="3">
        <item x="0"/>
        <item x="1"/>
        <item t="default"/>
      </items>
    </pivotField>
    <pivotField showAll="0"/>
    <pivotField showAll="0"/>
    <pivotField showAll="0"/>
  </pivotFields>
  <rowFields count="1">
    <field x="2"/>
  </rowFields>
  <rowItems count="3">
    <i>
      <x/>
    </i>
    <i>
      <x v="1"/>
    </i>
    <i t="grand">
      <x/>
    </i>
  </rowItems>
  <colItems count="1">
    <i/>
  </colItems>
  <dataFields count="1">
    <dataField name="Count of Employee ID"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E71988-9672-FD4D-91FD-618E12BF8617}"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C22" firstHeaderRow="1" firstDataRow="1" firstDataCol="1"/>
  <pivotFields count="10">
    <pivotField showAll="0"/>
    <pivotField axis="axisRow" showAll="0">
      <items count="6">
        <item x="2"/>
        <item x="0"/>
        <item x="1"/>
        <item x="3"/>
        <item x="4"/>
        <item t="default"/>
      </items>
    </pivotField>
    <pivotField showAll="0">
      <items count="3">
        <item x="0"/>
        <item x="1"/>
        <item t="default"/>
      </items>
    </pivotField>
    <pivotField showAll="0"/>
    <pivotField numFmtId="165" showAll="0"/>
    <pivotField dataField="1" showAll="0"/>
    <pivotField showAll="0">
      <items count="3">
        <item x="0"/>
        <item x="1"/>
        <item t="default"/>
      </items>
    </pivotField>
    <pivotField showAll="0"/>
    <pivotField showAll="0"/>
    <pivotField showAll="0"/>
  </pivotFields>
  <rowFields count="1">
    <field x="1"/>
  </rowFields>
  <rowItems count="6">
    <i>
      <x/>
    </i>
    <i>
      <x v="1"/>
    </i>
    <i>
      <x v="2"/>
    </i>
    <i>
      <x v="3"/>
    </i>
    <i>
      <x v="4"/>
    </i>
    <i t="grand">
      <x/>
    </i>
  </rowItems>
  <colItems count="1">
    <i/>
  </colItems>
  <dataFields count="1">
    <dataField name="Average of Salary"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DA11FA-6FCD-CB4D-AE0D-758941A4458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4:C10" firstHeaderRow="1" firstDataRow="1" firstDataCol="1"/>
  <pivotFields count="10">
    <pivotField dataField="1" showAll="0">
      <items count="16">
        <item x="0"/>
        <item x="1"/>
        <item x="2"/>
        <item x="3"/>
        <item x="4"/>
        <item x="5"/>
        <item x="6"/>
        <item x="7"/>
        <item x="8"/>
        <item x="9"/>
        <item x="10"/>
        <item x="11"/>
        <item x="12"/>
        <item x="13"/>
        <item x="14"/>
        <item t="default"/>
      </items>
    </pivotField>
    <pivotField axis="axisRow" showAll="0">
      <items count="6">
        <item x="2"/>
        <item x="0"/>
        <item x="1"/>
        <item x="3"/>
        <item x="4"/>
        <item t="default"/>
      </items>
    </pivotField>
    <pivotField showAll="0"/>
    <pivotField showAll="0"/>
    <pivotField numFmtId="165" showAll="0"/>
    <pivotField showAll="0"/>
    <pivotField showAll="0">
      <items count="3">
        <item x="0"/>
        <item x="1"/>
        <item t="default"/>
      </items>
    </pivotField>
    <pivotField showAll="0"/>
    <pivotField showAll="0"/>
    <pivotField showAll="0"/>
  </pivotFields>
  <rowFields count="1">
    <field x="1"/>
  </rowFields>
  <rowItems count="6">
    <i>
      <x/>
    </i>
    <i>
      <x v="1"/>
    </i>
    <i>
      <x v="2"/>
    </i>
    <i>
      <x v="3"/>
    </i>
    <i>
      <x v="4"/>
    </i>
    <i t="grand">
      <x/>
    </i>
  </rowItems>
  <colItems count="1">
    <i/>
  </colItems>
  <dataFields count="1">
    <dataField name="Count of Employee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F3BDF6-E395-5948-81C7-A2002EDBBF9C}"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7:C33" firstHeaderRow="1" firstDataRow="1" firstDataCol="1"/>
  <pivotFields count="11">
    <pivotField showAll="0"/>
    <pivotField showAll="0"/>
    <pivotField axis="axisRow" showAll="0">
      <items count="6">
        <item x="2"/>
        <item x="0"/>
        <item x="1"/>
        <item x="3"/>
        <item x="4"/>
        <item t="default"/>
      </items>
    </pivotField>
    <pivotField numFmtId="165" showAll="0"/>
    <pivotField numFmtId="165" showAll="0"/>
    <pivotField numFmtId="165" showAll="0"/>
    <pivotField showAll="0"/>
    <pivotField showAll="0"/>
    <pivotField dataField="1" showAll="0"/>
    <pivotField showAll="0">
      <items count="4">
        <item x="0"/>
        <item x="1"/>
        <item x="2"/>
        <item t="default"/>
      </items>
    </pivotField>
    <pivotField showAll="0"/>
  </pivotFields>
  <rowFields count="1">
    <field x="2"/>
  </rowFields>
  <rowItems count="6">
    <i>
      <x/>
    </i>
    <i>
      <x v="1"/>
    </i>
    <i>
      <x v="2"/>
    </i>
    <i>
      <x v="3"/>
    </i>
    <i>
      <x v="4"/>
    </i>
    <i t="grand">
      <x/>
    </i>
  </rowItems>
  <colItems count="1">
    <i/>
  </colItems>
  <dataFields count="1">
    <dataField name="Average of Time to Hire" fld="8"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Month" xr10:uid="{FC9589CB-AF95-5D45-8326-8C430C04885E}" sourceName="Application Month">
  <pivotTables>
    <pivotTable tabId="5" name="PivotTable6"/>
    <pivotTable tabId="5" name="PivotTable5"/>
  </pivotTables>
  <data>
    <tabular pivotCacheId="137723142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2BF2A91-C41C-0C49-8917-80C1E23072E5}" sourceName="Department">
  <pivotTables>
    <pivotTable tabId="5" name="PivotTable2"/>
    <pivotTable tabId="5" name="PivotTable3"/>
    <pivotTable tabId="5" name="PivotTable4"/>
  </pivotTables>
  <data>
    <tabular pivotCacheId="443186249">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9438F52-7B5A-C149-8BF1-C70E63C3545B}" sourceName="Status">
  <pivotTables>
    <pivotTable tabId="5" name="PivotTable2"/>
    <pivotTable tabId="5" name="PivotTable3"/>
    <pivotTable tabId="5" name="PivotTable4"/>
  </pivotTables>
  <data>
    <tabular pivotCacheId="44318624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ication Month" xr10:uid="{57AFEA3C-9C21-6D45-9B29-E7B9EA88B957}" cache="Slicer_Application_Month" caption="Application Month" rowHeight="251883"/>
  <slicer name="Department" xr10:uid="{FD859E61-6B72-3848-8920-5B8278641779}" cache="Slicer_Department" caption="Department" rowHeight="251883"/>
  <slicer name="Status" xr10:uid="{E60C1112-03BF-5D44-8D06-BC2099146C6E}" cache="Slicer_Status" caption="Status"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ication Month 1" xr10:uid="{75F94679-4E1B-5F4A-9E10-28C66683B606}" cache="Slicer_Application_Month" caption="Application Month" rowHeight="251883"/>
  <slicer name="Department 1" xr10:uid="{C8B611A6-1FB8-CB42-AB57-AD8D706460F0}" cache="Slicer_Department" caption="Department" rowHeight="251883"/>
  <slicer name="Status 1" xr10:uid="{DA5EE84B-3B94-D94A-9AF6-7A8888C2DB95}" cache="Slicer_Status" caption="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DD7522-32DC-A743-883A-A42F82DABED0}" name="Employee" displayName="Employee" ref="A1:J16" totalsRowShown="0" headerRowDxfId="39" dataDxfId="37" headerRowBorderDxfId="38" tableBorderDxfId="36">
  <autoFilter ref="A1:J16" xr:uid="{EFDD7522-32DC-A743-883A-A42F82DABED0}"/>
  <tableColumns count="10">
    <tableColumn id="1" xr3:uid="{0F37540C-647C-604F-89F5-9F4876265FEB}" name="Employee ID" dataDxfId="35"/>
    <tableColumn id="2" xr3:uid="{E3C67494-6F49-9C49-80DD-53050DDDFD16}" name="Department" dataDxfId="34"/>
    <tableColumn id="3" xr3:uid="{680F9C69-0D57-0A4D-B803-CDD3D887729B}" name="Gender" dataDxfId="33"/>
    <tableColumn id="4" xr3:uid="{85D492CF-3FAD-3843-9836-4D52BB19F637}" name="Age" dataDxfId="32"/>
    <tableColumn id="5" xr3:uid="{B6795AA2-2699-3346-901B-AAE6269D1B3F}" name="Hire Date" dataDxfId="31"/>
    <tableColumn id="6" xr3:uid="{E470CD0A-0276-B742-8B35-F304EF7077AA}" name="Salary" dataDxfId="30"/>
    <tableColumn id="7" xr3:uid="{BFEA7A2B-D7F7-344D-AAFD-AA6D1542237B}" name="Status" dataDxfId="29"/>
    <tableColumn id="8" xr3:uid="{7F35DBCB-E9E4-3F42-8564-5372DD7B2294}" name="Exit Date" dataDxfId="28"/>
    <tableColumn id="9" xr3:uid="{C55C1C7D-FB59-5941-ACBA-54CD1AFD5382}" name="Active Count" dataDxfId="27">
      <calculatedColumnFormula>IF(Employee[[#This Row],[Status]]="Active",1,0)</calculatedColumnFormula>
    </tableColumn>
    <tableColumn id="10" xr3:uid="{B8F228B3-C138-A344-8794-3C1F1748BB40}" name="Left Count" dataDxfId="26">
      <calculatedColumnFormula>IF(Employee[[#This Row],[Status]]="Left",1,0)</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5F9CF7-2B1A-A546-994C-0F80E2648F42}" name="Recruitment" displayName="Recruitment" ref="A1:K14" totalsRowCount="1" headerRowDxfId="25" dataDxfId="23" headerRowBorderDxfId="24" tableBorderDxfId="22">
  <autoFilter ref="A1:K13" xr:uid="{7F5F9CF7-2B1A-A546-994C-0F80E2648F42}"/>
  <tableColumns count="11">
    <tableColumn id="1" xr3:uid="{F225A4FC-70D9-934E-AE87-5E27414EAE2D}" name="Candidate ID" dataDxfId="21" totalsRowDxfId="20"/>
    <tableColumn id="2" xr3:uid="{7D1C1422-61B5-9C45-8A41-C56D6431A2A9}" name="Role" dataDxfId="19" totalsRowDxfId="18"/>
    <tableColumn id="3" xr3:uid="{DB60A0AF-29D9-B94F-9CB0-B96912DCCDB5}" name="Department" dataDxfId="17" totalsRowDxfId="16"/>
    <tableColumn id="4" xr3:uid="{CFAFC203-E1F7-D94E-9FD4-02D6DC369701}" name="Application Date" dataDxfId="15" totalsRowDxfId="14"/>
    <tableColumn id="5" xr3:uid="{3C5BBFE3-66CF-D642-9178-8F4F701CEC77}" name="Interview Date" dataDxfId="13" totalsRowDxfId="12"/>
    <tableColumn id="6" xr3:uid="{A0D2BE89-0C7E-6E45-BA1A-00C738483D42}" name="Offer Date" dataDxfId="11" totalsRowDxfId="10"/>
    <tableColumn id="7" xr3:uid="{EE295A13-AF9C-D541-B9EB-A20432795E1B}" name="Hire Date" dataDxfId="9" totalsRowDxfId="8"/>
    <tableColumn id="8" xr3:uid="{6EEF32A3-6741-9744-A83B-37EA25F2EEC9}" name="Status" dataDxfId="7" totalsRowDxfId="6"/>
    <tableColumn id="9" xr3:uid="{BFFD20AB-2E73-2243-8D16-EDAE33002C0C}" name="Time to Hire" totalsRowFunction="custom" dataDxfId="5" totalsRowDxfId="4">
      <calculatedColumnFormula>IF(Recruitment[[#This Row],[Hire Date]]="","",Recruitment[[#This Row],[Hire Date]]-Recruitment[[#This Row],[Application Date]])</calculatedColumnFormula>
      <totalsRowFormula>SUM(I2,I3,I5,I7,I9,I10,I12,I13)</totalsRowFormula>
    </tableColumn>
    <tableColumn id="10" xr3:uid="{656E92DA-234D-6646-B0B0-72B8F0B9BC2C}" name="Application Month" dataDxfId="0" totalsRowDxfId="3">
      <calculatedColumnFormula>TEXT(Recruitment[[#This Row],[Application Date]],"yyyy-mm")</calculatedColumnFormula>
    </tableColumn>
    <tableColumn id="12" xr3:uid="{9F38543D-F76A-FD40-9C67-45130FF1B273}" name="Hired Count" dataDxfId="2" totalsRowDxfId="1">
      <calculatedColumnFormula>IF(Recruitment[[#This Row],[Status]]="Hired",1,0)</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833A4-F110-4A46-B252-CFC48C662BDD}">
  <dimension ref="A1:J17"/>
  <sheetViews>
    <sheetView tabSelected="1" workbookViewId="0">
      <selection activeCell="B27" sqref="B27"/>
    </sheetView>
  </sheetViews>
  <sheetFormatPr baseColWidth="10" defaultRowHeight="16" x14ac:dyDescent="0.2"/>
  <cols>
    <col min="1" max="1" width="19.33203125" customWidth="1"/>
    <col min="2" max="2" width="29" customWidth="1"/>
    <col min="3" max="8" width="16.6640625" customWidth="1"/>
    <col min="9" max="9" width="17" customWidth="1"/>
    <col min="10" max="10" width="14.6640625" customWidth="1"/>
  </cols>
  <sheetData>
    <row r="1" spans="1:10" ht="24" x14ac:dyDescent="0.3">
      <c r="A1" s="4" t="s">
        <v>31</v>
      </c>
      <c r="B1" s="4" t="s">
        <v>1</v>
      </c>
      <c r="C1" s="4" t="s">
        <v>32</v>
      </c>
      <c r="D1" s="4" t="s">
        <v>33</v>
      </c>
      <c r="E1" s="4" t="s">
        <v>10</v>
      </c>
      <c r="F1" s="4" t="s">
        <v>34</v>
      </c>
      <c r="G1" s="4" t="s">
        <v>2</v>
      </c>
      <c r="H1" s="4" t="s">
        <v>35</v>
      </c>
      <c r="I1" s="4" t="s">
        <v>59</v>
      </c>
      <c r="J1" s="4" t="s">
        <v>60</v>
      </c>
    </row>
    <row r="2" spans="1:10" ht="21" x14ac:dyDescent="0.25">
      <c r="A2" s="1" t="s">
        <v>36</v>
      </c>
      <c r="B2" s="1" t="s">
        <v>55</v>
      </c>
      <c r="C2" s="1" t="s">
        <v>37</v>
      </c>
      <c r="D2" s="1">
        <v>29</v>
      </c>
      <c r="E2" s="3">
        <v>44635</v>
      </c>
      <c r="F2" s="1">
        <v>42000</v>
      </c>
      <c r="G2" s="1" t="s">
        <v>38</v>
      </c>
      <c r="H2" s="3"/>
      <c r="I2" s="1">
        <f>IF(Employee[[#This Row],[Status]]="Active",1,0)</f>
        <v>1</v>
      </c>
      <c r="J2" s="1">
        <f>IF(Employee[[#This Row],[Status]]="Left",1,0)</f>
        <v>0</v>
      </c>
    </row>
    <row r="3" spans="1:10" ht="21" x14ac:dyDescent="0.25">
      <c r="A3" s="1" t="s">
        <v>39</v>
      </c>
      <c r="B3" s="1" t="s">
        <v>56</v>
      </c>
      <c r="C3" s="1" t="s">
        <v>40</v>
      </c>
      <c r="D3" s="1">
        <v>34</v>
      </c>
      <c r="E3" s="3">
        <v>44387</v>
      </c>
      <c r="F3" s="1">
        <v>55000</v>
      </c>
      <c r="G3" s="1" t="s">
        <v>38</v>
      </c>
      <c r="H3" s="3"/>
      <c r="I3" s="1">
        <f>IF(Employee[[#This Row],[Status]]="Active",1,0)</f>
        <v>1</v>
      </c>
      <c r="J3" s="1">
        <f>IF(Employee[[#This Row],[Status]]="Left",1,0)</f>
        <v>0</v>
      </c>
    </row>
    <row r="4" spans="1:10" ht="21" x14ac:dyDescent="0.25">
      <c r="A4" s="1" t="s">
        <v>41</v>
      </c>
      <c r="B4" s="1" t="s">
        <v>15</v>
      </c>
      <c r="C4" s="1" t="s">
        <v>37</v>
      </c>
      <c r="D4" s="1">
        <v>41</v>
      </c>
      <c r="E4" s="3">
        <v>43850</v>
      </c>
      <c r="F4" s="1">
        <v>60000</v>
      </c>
      <c r="G4" s="1" t="s">
        <v>42</v>
      </c>
      <c r="H4" s="3">
        <v>45332</v>
      </c>
      <c r="I4" s="1">
        <f>IF(Employee[[#This Row],[Status]]="Active",1,0)</f>
        <v>0</v>
      </c>
      <c r="J4" s="1">
        <f>IF(Employee[[#This Row],[Status]]="Left",1,0)</f>
        <v>1</v>
      </c>
    </row>
    <row r="5" spans="1:10" ht="21" x14ac:dyDescent="0.25">
      <c r="A5" s="1" t="s">
        <v>43</v>
      </c>
      <c r="B5" s="1" t="s">
        <v>19</v>
      </c>
      <c r="C5" s="1" t="s">
        <v>40</v>
      </c>
      <c r="D5" s="1">
        <v>27</v>
      </c>
      <c r="E5" s="3">
        <v>45078</v>
      </c>
      <c r="F5" s="1">
        <v>38000</v>
      </c>
      <c r="G5" s="1" t="s">
        <v>38</v>
      </c>
      <c r="H5" s="3"/>
      <c r="I5" s="1">
        <f>IF(Employee[[#This Row],[Status]]="Active",1,0)</f>
        <v>1</v>
      </c>
      <c r="J5" s="1">
        <f>IF(Employee[[#This Row],[Status]]="Left",1,0)</f>
        <v>0</v>
      </c>
    </row>
    <row r="6" spans="1:10" ht="21" x14ac:dyDescent="0.25">
      <c r="A6" s="1" t="s">
        <v>44</v>
      </c>
      <c r="B6" s="1" t="s">
        <v>56</v>
      </c>
      <c r="C6" s="1" t="s">
        <v>37</v>
      </c>
      <c r="D6" s="1">
        <v>31</v>
      </c>
      <c r="E6" s="3">
        <v>44816</v>
      </c>
      <c r="F6" s="1">
        <v>52000</v>
      </c>
      <c r="G6" s="1" t="s">
        <v>38</v>
      </c>
      <c r="H6" s="3"/>
      <c r="I6" s="1">
        <f>IF(Employee[[#This Row],[Status]]="Active",1,0)</f>
        <v>1</v>
      </c>
      <c r="J6" s="1">
        <f>IF(Employee[[#This Row],[Status]]="Left",1,0)</f>
        <v>0</v>
      </c>
    </row>
    <row r="7" spans="1:10" ht="21" x14ac:dyDescent="0.25">
      <c r="A7" s="1" t="s">
        <v>45</v>
      </c>
      <c r="B7" s="1" t="s">
        <v>55</v>
      </c>
      <c r="C7" s="1" t="s">
        <v>40</v>
      </c>
      <c r="D7" s="1">
        <v>36</v>
      </c>
      <c r="E7" s="3">
        <v>44505</v>
      </c>
      <c r="F7" s="1">
        <v>45000</v>
      </c>
      <c r="G7" s="1" t="s">
        <v>42</v>
      </c>
      <c r="H7" s="3">
        <v>45261</v>
      </c>
      <c r="I7" s="1">
        <f>IF(Employee[[#This Row],[Status]]="Active",1,0)</f>
        <v>0</v>
      </c>
      <c r="J7" s="1">
        <f>IF(Employee[[#This Row],[Status]]="Left",1,0)</f>
        <v>1</v>
      </c>
    </row>
    <row r="8" spans="1:10" ht="21" x14ac:dyDescent="0.25">
      <c r="A8" s="1" t="s">
        <v>46</v>
      </c>
      <c r="B8" s="1" t="s">
        <v>24</v>
      </c>
      <c r="C8" s="1" t="s">
        <v>37</v>
      </c>
      <c r="D8" s="1">
        <v>30</v>
      </c>
      <c r="E8" s="3">
        <v>44944</v>
      </c>
      <c r="F8" s="1">
        <v>40000</v>
      </c>
      <c r="G8" s="1" t="s">
        <v>38</v>
      </c>
      <c r="H8" s="3"/>
      <c r="I8" s="1">
        <f>IF(Employee[[#This Row],[Status]]="Active",1,0)</f>
        <v>1</v>
      </c>
      <c r="J8" s="1">
        <f>IF(Employee[[#This Row],[Status]]="Left",1,0)</f>
        <v>0</v>
      </c>
    </row>
    <row r="9" spans="1:10" ht="21" x14ac:dyDescent="0.25">
      <c r="A9" s="1" t="s">
        <v>47</v>
      </c>
      <c r="B9" s="1" t="s">
        <v>15</v>
      </c>
      <c r="C9" s="1" t="s">
        <v>40</v>
      </c>
      <c r="D9" s="1">
        <v>45</v>
      </c>
      <c r="E9" s="3">
        <v>43578</v>
      </c>
      <c r="F9" s="1">
        <v>65000</v>
      </c>
      <c r="G9" s="1" t="s">
        <v>38</v>
      </c>
      <c r="H9" s="3"/>
      <c r="I9" s="1">
        <f>IF(Employee[[#This Row],[Status]]="Active",1,0)</f>
        <v>1</v>
      </c>
      <c r="J9" s="1">
        <f>IF(Employee[[#This Row],[Status]]="Left",1,0)</f>
        <v>0</v>
      </c>
    </row>
    <row r="10" spans="1:10" ht="21" x14ac:dyDescent="0.25">
      <c r="A10" s="1" t="s">
        <v>48</v>
      </c>
      <c r="B10" s="1" t="s">
        <v>56</v>
      </c>
      <c r="C10" s="1" t="s">
        <v>40</v>
      </c>
      <c r="D10" s="1">
        <v>28</v>
      </c>
      <c r="E10" s="3">
        <v>45152</v>
      </c>
      <c r="F10" s="1">
        <v>48000</v>
      </c>
      <c r="G10" s="1" t="s">
        <v>38</v>
      </c>
      <c r="H10" s="3"/>
      <c r="I10" s="1">
        <f>IF(Employee[[#This Row],[Status]]="Active",1,0)</f>
        <v>1</v>
      </c>
      <c r="J10" s="1">
        <f>IF(Employee[[#This Row],[Status]]="Left",1,0)</f>
        <v>0</v>
      </c>
    </row>
    <row r="11" spans="1:10" ht="21" x14ac:dyDescent="0.25">
      <c r="A11" s="1" t="s">
        <v>49</v>
      </c>
      <c r="B11" s="1" t="s">
        <v>19</v>
      </c>
      <c r="C11" s="1" t="s">
        <v>37</v>
      </c>
      <c r="D11" s="1">
        <v>33</v>
      </c>
      <c r="E11" s="3">
        <v>44711</v>
      </c>
      <c r="F11" s="1">
        <v>41000</v>
      </c>
      <c r="G11" s="1" t="s">
        <v>42</v>
      </c>
      <c r="H11" s="3">
        <v>45306</v>
      </c>
      <c r="I11" s="1">
        <f>IF(Employee[[#This Row],[Status]]="Active",1,0)</f>
        <v>0</v>
      </c>
      <c r="J11" s="1">
        <f>IF(Employee[[#This Row],[Status]]="Left",1,0)</f>
        <v>1</v>
      </c>
    </row>
    <row r="12" spans="1:10" ht="21" x14ac:dyDescent="0.25">
      <c r="A12" s="1" t="s">
        <v>50</v>
      </c>
      <c r="B12" s="1" t="s">
        <v>24</v>
      </c>
      <c r="C12" s="1" t="s">
        <v>40</v>
      </c>
      <c r="D12" s="1">
        <v>39</v>
      </c>
      <c r="E12" s="3">
        <v>44114</v>
      </c>
      <c r="F12" s="1">
        <v>47000</v>
      </c>
      <c r="G12" s="1" t="s">
        <v>38</v>
      </c>
      <c r="H12" s="3"/>
      <c r="I12" s="1">
        <f>IF(Employee[[#This Row],[Status]]="Active",1,0)</f>
        <v>1</v>
      </c>
      <c r="J12" s="1">
        <f>IF(Employee[[#This Row],[Status]]="Left",1,0)</f>
        <v>0</v>
      </c>
    </row>
    <row r="13" spans="1:10" ht="21" x14ac:dyDescent="0.25">
      <c r="A13" s="1" t="s">
        <v>51</v>
      </c>
      <c r="B13" s="1" t="s">
        <v>55</v>
      </c>
      <c r="C13" s="1" t="s">
        <v>37</v>
      </c>
      <c r="D13" s="1">
        <v>26</v>
      </c>
      <c r="E13" s="3">
        <v>45323</v>
      </c>
      <c r="F13" s="1">
        <v>39000</v>
      </c>
      <c r="G13" s="1" t="s">
        <v>38</v>
      </c>
      <c r="H13" s="3"/>
      <c r="I13" s="1">
        <f>IF(Employee[[#This Row],[Status]]="Active",1,0)</f>
        <v>1</v>
      </c>
      <c r="J13" s="1">
        <f>IF(Employee[[#This Row],[Status]]="Left",1,0)</f>
        <v>0</v>
      </c>
    </row>
    <row r="14" spans="1:10" ht="21" x14ac:dyDescent="0.25">
      <c r="A14" s="1" t="s">
        <v>52</v>
      </c>
      <c r="B14" s="1" t="s">
        <v>56</v>
      </c>
      <c r="C14" s="1" t="s">
        <v>37</v>
      </c>
      <c r="D14" s="1">
        <v>35</v>
      </c>
      <c r="E14" s="3">
        <v>44280</v>
      </c>
      <c r="F14" s="1">
        <v>57000</v>
      </c>
      <c r="G14" s="1" t="s">
        <v>38</v>
      </c>
      <c r="H14" s="3"/>
      <c r="I14" s="1">
        <f>IF(Employee[[#This Row],[Status]]="Active",1,0)</f>
        <v>1</v>
      </c>
      <c r="J14" s="1">
        <f>IF(Employee[[#This Row],[Status]]="Left",1,0)</f>
        <v>0</v>
      </c>
    </row>
    <row r="15" spans="1:10" ht="21" x14ac:dyDescent="0.25">
      <c r="A15" s="1" t="s">
        <v>53</v>
      </c>
      <c r="B15" s="1" t="s">
        <v>15</v>
      </c>
      <c r="C15" s="1" t="s">
        <v>40</v>
      </c>
      <c r="D15" s="1">
        <v>42</v>
      </c>
      <c r="E15" s="3">
        <v>43446</v>
      </c>
      <c r="F15" s="1">
        <v>68000</v>
      </c>
      <c r="G15" s="1" t="s">
        <v>42</v>
      </c>
      <c r="H15" s="3">
        <v>45250</v>
      </c>
      <c r="I15" s="1">
        <f>IF(Employee[[#This Row],[Status]]="Active",1,0)</f>
        <v>0</v>
      </c>
      <c r="J15" s="1">
        <f>IF(Employee[[#This Row],[Status]]="Left",1,0)</f>
        <v>1</v>
      </c>
    </row>
    <row r="16" spans="1:10" ht="21" x14ac:dyDescent="0.25">
      <c r="A16" s="1" t="s">
        <v>54</v>
      </c>
      <c r="B16" s="1" t="s">
        <v>19</v>
      </c>
      <c r="C16" s="1" t="s">
        <v>37</v>
      </c>
      <c r="D16" s="1">
        <v>29</v>
      </c>
      <c r="E16" s="3">
        <v>45114</v>
      </c>
      <c r="F16" s="1">
        <v>42000</v>
      </c>
      <c r="G16" s="1" t="s">
        <v>38</v>
      </c>
      <c r="H16" s="3"/>
      <c r="I16" s="1">
        <f>IF(Employee[[#This Row],[Status]]="Active",1,0)</f>
        <v>1</v>
      </c>
      <c r="J16" s="1">
        <f>IF(Employee[[#This Row],[Status]]="Left",1,0)</f>
        <v>0</v>
      </c>
    </row>
    <row r="17" spans="8:8" x14ac:dyDescent="0.2">
      <c r="H17"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E5E2F-C7BE-BF44-B845-756CD27F8B8D}">
  <dimension ref="B2:G33"/>
  <sheetViews>
    <sheetView workbookViewId="0">
      <selection activeCell="D23" sqref="D23"/>
    </sheetView>
  </sheetViews>
  <sheetFormatPr baseColWidth="10" defaultRowHeight="16" x14ac:dyDescent="0.2"/>
  <cols>
    <col min="2" max="2" width="20.6640625" bestFit="1" customWidth="1"/>
    <col min="3" max="3" width="21.1640625" bestFit="1" customWidth="1"/>
    <col min="6" max="6" width="13" bestFit="1" customWidth="1"/>
    <col min="7" max="7" width="17.33203125" bestFit="1" customWidth="1"/>
  </cols>
  <sheetData>
    <row r="2" spans="2:7" ht="19" x14ac:dyDescent="0.25">
      <c r="B2" s="23" t="s">
        <v>65</v>
      </c>
      <c r="C2" s="24"/>
      <c r="F2" s="25" t="s">
        <v>66</v>
      </c>
      <c r="G2" s="25"/>
    </row>
    <row r="4" spans="2:7" x14ac:dyDescent="0.2">
      <c r="B4" s="10" t="s">
        <v>62</v>
      </c>
      <c r="C4" t="s">
        <v>64</v>
      </c>
      <c r="F4" s="10" t="s">
        <v>62</v>
      </c>
      <c r="G4" t="s">
        <v>64</v>
      </c>
    </row>
    <row r="5" spans="2:7" x14ac:dyDescent="0.2">
      <c r="B5" s="11" t="s">
        <v>15</v>
      </c>
      <c r="C5">
        <v>3</v>
      </c>
      <c r="F5" s="11" t="s">
        <v>37</v>
      </c>
      <c r="G5">
        <v>8</v>
      </c>
    </row>
    <row r="6" spans="2:7" x14ac:dyDescent="0.2">
      <c r="B6" s="11" t="s">
        <v>55</v>
      </c>
      <c r="C6">
        <v>3</v>
      </c>
      <c r="F6" s="11" t="s">
        <v>40</v>
      </c>
      <c r="G6">
        <v>7</v>
      </c>
    </row>
    <row r="7" spans="2:7" x14ac:dyDescent="0.2">
      <c r="B7" s="11" t="s">
        <v>56</v>
      </c>
      <c r="C7">
        <v>4</v>
      </c>
      <c r="F7" s="11" t="s">
        <v>63</v>
      </c>
      <c r="G7">
        <v>15</v>
      </c>
    </row>
    <row r="8" spans="2:7" x14ac:dyDescent="0.2">
      <c r="B8" s="11" t="s">
        <v>19</v>
      </c>
      <c r="C8">
        <v>3</v>
      </c>
    </row>
    <row r="9" spans="2:7" x14ac:dyDescent="0.2">
      <c r="B9" s="11" t="s">
        <v>24</v>
      </c>
      <c r="C9">
        <v>2</v>
      </c>
    </row>
    <row r="10" spans="2:7" x14ac:dyDescent="0.2">
      <c r="B10" s="11" t="s">
        <v>63</v>
      </c>
      <c r="C10">
        <v>15</v>
      </c>
    </row>
    <row r="14" spans="2:7" ht="19" x14ac:dyDescent="0.25">
      <c r="B14" s="23" t="s">
        <v>68</v>
      </c>
      <c r="C14" s="24"/>
      <c r="F14" s="25" t="s">
        <v>70</v>
      </c>
      <c r="G14" s="25"/>
    </row>
    <row r="16" spans="2:7" x14ac:dyDescent="0.2">
      <c r="B16" s="10" t="s">
        <v>62</v>
      </c>
      <c r="C16" t="s">
        <v>67</v>
      </c>
      <c r="F16" s="10" t="s">
        <v>62</v>
      </c>
      <c r="G16" t="s">
        <v>69</v>
      </c>
    </row>
    <row r="17" spans="2:7" x14ac:dyDescent="0.2">
      <c r="B17" s="11" t="s">
        <v>15</v>
      </c>
      <c r="C17">
        <v>64333.333333333336</v>
      </c>
      <c r="F17" s="11" t="s">
        <v>79</v>
      </c>
      <c r="G17" s="26">
        <v>2</v>
      </c>
    </row>
    <row r="18" spans="2:7" x14ac:dyDescent="0.2">
      <c r="B18" s="11" t="s">
        <v>55</v>
      </c>
      <c r="C18">
        <v>42000</v>
      </c>
      <c r="F18" s="11" t="s">
        <v>80</v>
      </c>
      <c r="G18" s="26">
        <v>2</v>
      </c>
    </row>
    <row r="19" spans="2:7" x14ac:dyDescent="0.2">
      <c r="B19" s="11" t="s">
        <v>56</v>
      </c>
      <c r="C19">
        <v>53000</v>
      </c>
      <c r="F19" s="11" t="s">
        <v>81</v>
      </c>
      <c r="G19" s="26">
        <v>4</v>
      </c>
    </row>
    <row r="20" spans="2:7" x14ac:dyDescent="0.2">
      <c r="B20" s="11" t="s">
        <v>19</v>
      </c>
      <c r="C20">
        <v>40333.333333333336</v>
      </c>
      <c r="F20" s="11" t="s">
        <v>63</v>
      </c>
      <c r="G20" s="26">
        <v>8</v>
      </c>
    </row>
    <row r="21" spans="2:7" x14ac:dyDescent="0.2">
      <c r="B21" s="11" t="s">
        <v>24</v>
      </c>
      <c r="C21">
        <v>43500</v>
      </c>
    </row>
    <row r="22" spans="2:7" x14ac:dyDescent="0.2">
      <c r="B22" s="11" t="s">
        <v>63</v>
      </c>
      <c r="C22">
        <v>49266.666666666664</v>
      </c>
    </row>
    <row r="25" spans="2:7" ht="19" x14ac:dyDescent="0.25">
      <c r="B25" s="25" t="s">
        <v>72</v>
      </c>
      <c r="C25" s="25"/>
    </row>
    <row r="27" spans="2:7" x14ac:dyDescent="0.2">
      <c r="B27" s="10" t="s">
        <v>62</v>
      </c>
      <c r="C27" t="s">
        <v>71</v>
      </c>
    </row>
    <row r="28" spans="2:7" x14ac:dyDescent="0.2">
      <c r="B28" s="11" t="s">
        <v>15</v>
      </c>
      <c r="C28" s="26">
        <v>24</v>
      </c>
    </row>
    <row r="29" spans="2:7" x14ac:dyDescent="0.2">
      <c r="B29" s="11" t="s">
        <v>55</v>
      </c>
      <c r="C29" s="26">
        <v>18</v>
      </c>
    </row>
    <row r="30" spans="2:7" x14ac:dyDescent="0.2">
      <c r="B30" s="11" t="s">
        <v>56</v>
      </c>
      <c r="C30" s="26">
        <v>23.5</v>
      </c>
    </row>
    <row r="31" spans="2:7" x14ac:dyDescent="0.2">
      <c r="B31" s="11" t="s">
        <v>19</v>
      </c>
      <c r="C31" s="26">
        <v>20</v>
      </c>
    </row>
    <row r="32" spans="2:7" x14ac:dyDescent="0.2">
      <c r="B32" s="11" t="s">
        <v>24</v>
      </c>
      <c r="C32" s="26">
        <v>18</v>
      </c>
    </row>
    <row r="33" spans="2:3" x14ac:dyDescent="0.2">
      <c r="B33" s="11" t="s">
        <v>63</v>
      </c>
      <c r="C33" s="26">
        <v>20.625</v>
      </c>
    </row>
  </sheetData>
  <mergeCells count="5">
    <mergeCell ref="B2:C2"/>
    <mergeCell ref="F2:G2"/>
    <mergeCell ref="B14:C14"/>
    <mergeCell ref="F14:G14"/>
    <mergeCell ref="B25:C25"/>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2D0F8-B203-C441-A8B4-0BF4C44D1719}">
  <dimension ref="B3:O50"/>
  <sheetViews>
    <sheetView showGridLines="0" topLeftCell="A9" zoomScale="79" zoomScaleNormal="79" workbookViewId="0">
      <selection activeCell="L52" sqref="L52"/>
    </sheetView>
  </sheetViews>
  <sheetFormatPr baseColWidth="10" defaultRowHeight="16" x14ac:dyDescent="0.2"/>
  <cols>
    <col min="1" max="1" width="17" bestFit="1" customWidth="1"/>
    <col min="2" max="2" width="10.83203125" customWidth="1"/>
    <col min="3" max="3" width="11.33203125" customWidth="1"/>
    <col min="4" max="4" width="10.83203125" customWidth="1"/>
    <col min="6" max="6" width="10.83203125" customWidth="1"/>
    <col min="8" max="8" width="10.83203125" customWidth="1"/>
  </cols>
  <sheetData>
    <row r="3" spans="2:11" x14ac:dyDescent="0.2">
      <c r="B3" s="12"/>
      <c r="C3" s="12"/>
      <c r="D3" s="12"/>
      <c r="E3" s="12"/>
      <c r="F3" s="12"/>
      <c r="G3" s="12"/>
      <c r="H3" s="12"/>
      <c r="I3" s="12"/>
      <c r="J3" s="12"/>
      <c r="K3" s="12"/>
    </row>
    <row r="4" spans="2:11" x14ac:dyDescent="0.2">
      <c r="B4" s="12"/>
      <c r="C4" s="12"/>
      <c r="D4" s="12"/>
      <c r="E4" s="12"/>
      <c r="F4" s="12"/>
      <c r="G4" s="12"/>
      <c r="H4" s="12"/>
      <c r="I4" s="12"/>
      <c r="J4" s="12"/>
      <c r="K4" s="12"/>
    </row>
    <row r="5" spans="2:11" ht="26" x14ac:dyDescent="0.3">
      <c r="B5" s="12"/>
      <c r="C5" s="16" t="s">
        <v>73</v>
      </c>
      <c r="D5" s="16"/>
      <c r="E5" s="16"/>
      <c r="F5" s="16"/>
      <c r="G5" s="16"/>
      <c r="H5" s="16"/>
      <c r="I5" s="16"/>
      <c r="J5" s="16"/>
      <c r="K5" s="12"/>
    </row>
    <row r="6" spans="2:11" x14ac:dyDescent="0.2">
      <c r="B6" s="12"/>
      <c r="C6" s="12"/>
      <c r="D6" s="12"/>
      <c r="E6" s="27" t="s">
        <v>74</v>
      </c>
      <c r="F6" s="27"/>
      <c r="G6" s="27"/>
      <c r="H6" s="27"/>
      <c r="I6" s="12"/>
      <c r="J6" s="12"/>
      <c r="K6" s="12"/>
    </row>
    <row r="7" spans="2:11" ht="17" thickBot="1" x14ac:dyDescent="0.25">
      <c r="B7" s="12"/>
      <c r="C7" s="12"/>
      <c r="D7" s="12"/>
      <c r="E7" s="12"/>
      <c r="F7" s="12"/>
      <c r="G7" s="12"/>
      <c r="H7" s="12"/>
      <c r="I7" s="12"/>
      <c r="J7" s="12"/>
      <c r="K7" s="12"/>
    </row>
    <row r="8" spans="2:11" x14ac:dyDescent="0.2">
      <c r="B8" s="12"/>
      <c r="C8" s="17" t="s">
        <v>75</v>
      </c>
      <c r="D8" s="18"/>
      <c r="E8" s="17" t="s">
        <v>76</v>
      </c>
      <c r="F8" s="18"/>
      <c r="G8" s="17" t="s">
        <v>77</v>
      </c>
      <c r="H8" s="18"/>
      <c r="I8" s="17" t="s">
        <v>78</v>
      </c>
      <c r="J8" s="18"/>
      <c r="K8" s="12"/>
    </row>
    <row r="9" spans="2:11" ht="17" thickBot="1" x14ac:dyDescent="0.25">
      <c r="B9" s="12"/>
      <c r="C9" s="14">
        <f>COUNTA(EMPLOYEES!A2:A16)</f>
        <v>15</v>
      </c>
      <c r="D9" s="15"/>
      <c r="E9" s="19">
        <f>SUM(Employee[Left Count])/COUNTA(Employee[Employee ID])</f>
        <v>0.26666666666666666</v>
      </c>
      <c r="F9" s="20"/>
      <c r="G9" s="21">
        <f>AVERAGEIF(Recruitment[Time to Hire],"&gt;0",Recruitment[Time to Hire])</f>
        <v>20.625</v>
      </c>
      <c r="H9" s="22"/>
      <c r="I9" s="14">
        <f>SUM(Recruitment[Hired Count])</f>
        <v>8</v>
      </c>
      <c r="J9" s="15"/>
      <c r="K9" s="12"/>
    </row>
    <row r="10" spans="2:11" x14ac:dyDescent="0.2">
      <c r="B10" s="12"/>
      <c r="C10" s="12"/>
      <c r="D10" s="12"/>
      <c r="E10" s="12"/>
      <c r="F10" s="12"/>
      <c r="G10" s="12"/>
      <c r="H10" s="12"/>
      <c r="I10" s="12"/>
      <c r="J10" s="12"/>
      <c r="K10" s="12"/>
    </row>
    <row r="11" spans="2:11" x14ac:dyDescent="0.2">
      <c r="B11" s="12"/>
      <c r="C11" s="12"/>
      <c r="D11" s="12"/>
      <c r="E11" s="12"/>
      <c r="F11" s="12"/>
      <c r="G11" s="12"/>
      <c r="H11" s="12"/>
      <c r="I11" s="12"/>
      <c r="J11" s="12"/>
      <c r="K11" s="12"/>
    </row>
    <row r="12" spans="2:11" x14ac:dyDescent="0.2">
      <c r="B12" s="12"/>
      <c r="C12" s="12"/>
      <c r="D12" s="12"/>
      <c r="E12" s="12"/>
      <c r="F12" s="12"/>
      <c r="G12" s="12"/>
      <c r="H12" s="12"/>
      <c r="I12" s="12"/>
      <c r="J12" s="12"/>
      <c r="K12" s="12"/>
    </row>
    <row r="13" spans="2:11" x14ac:dyDescent="0.2">
      <c r="B13" s="12"/>
      <c r="C13" s="12"/>
      <c r="D13" s="12"/>
      <c r="E13" s="12"/>
      <c r="F13" s="12"/>
      <c r="G13" s="12"/>
      <c r="H13" s="12"/>
      <c r="I13" s="12"/>
      <c r="J13" s="12"/>
      <c r="K13" s="12"/>
    </row>
    <row r="14" spans="2:11" x14ac:dyDescent="0.2">
      <c r="B14" s="12"/>
      <c r="C14" s="12"/>
      <c r="D14" s="12"/>
      <c r="E14" s="12"/>
      <c r="F14" s="12"/>
      <c r="G14" s="12"/>
      <c r="H14" s="12"/>
      <c r="I14" s="12"/>
      <c r="J14" s="12"/>
      <c r="K14" s="12"/>
    </row>
    <row r="15" spans="2:11" x14ac:dyDescent="0.2">
      <c r="B15" s="12"/>
      <c r="C15" s="12"/>
      <c r="D15" s="12"/>
      <c r="E15" s="12"/>
      <c r="F15" s="12"/>
      <c r="G15" s="12"/>
      <c r="H15" s="12"/>
      <c r="I15" s="12"/>
      <c r="J15" s="12"/>
      <c r="K15" s="12"/>
    </row>
    <row r="16" spans="2:11" x14ac:dyDescent="0.2">
      <c r="B16" s="12"/>
      <c r="C16" s="12"/>
      <c r="D16" s="12"/>
      <c r="E16" s="12"/>
      <c r="F16" s="12"/>
      <c r="G16" s="12"/>
      <c r="H16" s="12"/>
      <c r="I16" s="12"/>
      <c r="J16" s="12"/>
      <c r="K16" s="12"/>
    </row>
    <row r="17" spans="2:11" x14ac:dyDescent="0.2">
      <c r="B17" s="12"/>
      <c r="C17" s="12"/>
      <c r="D17" s="12"/>
      <c r="E17" s="12"/>
      <c r="F17" s="12"/>
      <c r="G17" s="12"/>
      <c r="H17" s="12"/>
      <c r="I17" s="12"/>
      <c r="J17" s="12"/>
      <c r="K17" s="12"/>
    </row>
    <row r="18" spans="2:11" x14ac:dyDescent="0.2">
      <c r="B18" s="12"/>
      <c r="C18" s="12"/>
      <c r="D18" s="12"/>
      <c r="E18" s="12"/>
      <c r="F18" s="12"/>
      <c r="G18" s="12"/>
      <c r="H18" s="12"/>
      <c r="I18" s="12"/>
      <c r="J18" s="12"/>
      <c r="K18" s="12"/>
    </row>
    <row r="19" spans="2:11" x14ac:dyDescent="0.2">
      <c r="B19" s="12"/>
      <c r="C19" s="12"/>
      <c r="D19" s="12"/>
      <c r="E19" s="12"/>
      <c r="F19" s="12"/>
      <c r="G19" s="12"/>
      <c r="H19" s="12"/>
      <c r="I19" s="12"/>
      <c r="J19" s="12"/>
      <c r="K19" s="12"/>
    </row>
    <row r="20" spans="2:11" x14ac:dyDescent="0.2">
      <c r="B20" s="12"/>
      <c r="C20" s="12"/>
      <c r="D20" s="12"/>
      <c r="E20" s="12"/>
      <c r="F20" s="12"/>
      <c r="G20" s="12"/>
      <c r="H20" s="12"/>
      <c r="I20" s="12"/>
      <c r="J20" s="12"/>
      <c r="K20" s="12"/>
    </row>
    <row r="21" spans="2:11" x14ac:dyDescent="0.2">
      <c r="B21" s="12"/>
      <c r="C21" s="12"/>
      <c r="D21" s="12"/>
      <c r="E21" s="12"/>
      <c r="F21" s="12"/>
      <c r="G21" s="12"/>
      <c r="H21" s="12"/>
      <c r="I21" s="12"/>
      <c r="J21" s="12"/>
      <c r="K21" s="12"/>
    </row>
    <row r="22" spans="2:11" x14ac:dyDescent="0.2">
      <c r="B22" s="12"/>
      <c r="C22" s="12"/>
      <c r="D22" s="12"/>
      <c r="E22" s="12"/>
      <c r="F22" s="12"/>
      <c r="G22" s="12"/>
      <c r="H22" s="12"/>
      <c r="I22" s="12"/>
      <c r="J22" s="12"/>
      <c r="K22" s="12"/>
    </row>
    <row r="23" spans="2:11" x14ac:dyDescent="0.2">
      <c r="B23" s="12"/>
      <c r="C23" s="12"/>
      <c r="D23" s="12"/>
      <c r="E23" s="12"/>
      <c r="F23" s="12"/>
      <c r="G23" s="12"/>
      <c r="H23" s="12"/>
      <c r="I23" s="12"/>
      <c r="J23" s="12"/>
      <c r="K23" s="12"/>
    </row>
    <row r="24" spans="2:11" x14ac:dyDescent="0.2">
      <c r="B24" s="12"/>
      <c r="C24" s="12"/>
      <c r="D24" s="12"/>
      <c r="E24" s="12"/>
      <c r="F24" s="12"/>
      <c r="G24" s="12"/>
      <c r="H24" s="12"/>
      <c r="I24" s="12"/>
      <c r="J24" s="12"/>
      <c r="K24" s="12"/>
    </row>
    <row r="25" spans="2:11" x14ac:dyDescent="0.2">
      <c r="B25" s="12"/>
      <c r="C25" s="12"/>
      <c r="D25" s="12"/>
      <c r="E25" s="12"/>
      <c r="F25" s="12"/>
      <c r="G25" s="12"/>
      <c r="H25" s="12"/>
      <c r="I25" s="12"/>
      <c r="J25" s="12"/>
      <c r="K25" s="12"/>
    </row>
    <row r="26" spans="2:11" x14ac:dyDescent="0.2">
      <c r="B26" s="12"/>
      <c r="C26" s="12"/>
      <c r="D26" s="12"/>
      <c r="E26" s="12"/>
      <c r="F26" s="12"/>
      <c r="G26" s="12"/>
      <c r="H26" s="12"/>
      <c r="I26" s="12"/>
      <c r="J26" s="12"/>
      <c r="K26" s="12"/>
    </row>
    <row r="27" spans="2:11" x14ac:dyDescent="0.2">
      <c r="B27" s="12"/>
      <c r="C27" s="12"/>
      <c r="D27" s="12"/>
      <c r="E27" s="12"/>
      <c r="F27" s="12"/>
      <c r="G27" s="12"/>
      <c r="H27" s="12"/>
      <c r="I27" s="12"/>
      <c r="J27" s="12"/>
      <c r="K27" s="12"/>
    </row>
    <row r="28" spans="2:11" x14ac:dyDescent="0.2">
      <c r="B28" s="12"/>
      <c r="C28" s="12"/>
      <c r="D28" s="12"/>
      <c r="E28" s="12"/>
      <c r="F28" s="12"/>
      <c r="G28" s="12"/>
      <c r="H28" s="12"/>
      <c r="I28" s="12"/>
      <c r="J28" s="12"/>
      <c r="K28" s="12"/>
    </row>
    <row r="29" spans="2:11" x14ac:dyDescent="0.2">
      <c r="B29" s="12"/>
      <c r="C29" s="12"/>
      <c r="D29" s="12"/>
      <c r="E29" s="12"/>
      <c r="F29" s="12"/>
      <c r="G29" s="12"/>
      <c r="H29" s="12"/>
      <c r="I29" s="12"/>
      <c r="J29" s="12"/>
      <c r="K29" s="12"/>
    </row>
    <row r="30" spans="2:11" x14ac:dyDescent="0.2">
      <c r="B30" s="12"/>
      <c r="C30" s="12"/>
      <c r="D30" s="12"/>
      <c r="E30" s="12"/>
      <c r="F30" s="12"/>
      <c r="G30" s="12"/>
      <c r="H30" s="12"/>
      <c r="I30" s="12"/>
      <c r="J30" s="12"/>
      <c r="K30" s="12"/>
    </row>
    <row r="31" spans="2:11" x14ac:dyDescent="0.2">
      <c r="B31" s="12"/>
      <c r="C31" s="12"/>
      <c r="D31" s="12"/>
      <c r="E31" s="12"/>
      <c r="F31" s="12"/>
      <c r="G31" s="12"/>
      <c r="H31" s="12"/>
      <c r="I31" s="12"/>
      <c r="J31" s="12"/>
      <c r="K31" s="12"/>
    </row>
    <row r="32" spans="2:11" x14ac:dyDescent="0.2">
      <c r="B32" s="12"/>
      <c r="C32" s="12"/>
      <c r="D32" s="12"/>
      <c r="E32" s="12"/>
      <c r="F32" s="12"/>
      <c r="G32" s="12"/>
      <c r="H32" s="12"/>
      <c r="I32" s="12"/>
      <c r="J32" s="12"/>
      <c r="K32" s="12"/>
    </row>
    <row r="33" spans="2:15" x14ac:dyDescent="0.2">
      <c r="B33" s="12"/>
      <c r="C33" s="12"/>
      <c r="D33" s="12"/>
      <c r="E33" s="12"/>
      <c r="F33" s="12"/>
      <c r="G33" s="12"/>
      <c r="H33" s="12"/>
      <c r="I33" s="12"/>
      <c r="J33" s="12"/>
      <c r="K33" s="12"/>
    </row>
    <row r="34" spans="2:15" x14ac:dyDescent="0.2">
      <c r="B34" s="12"/>
      <c r="C34" s="12"/>
      <c r="D34" s="12"/>
      <c r="E34" s="12"/>
      <c r="F34" s="12"/>
      <c r="G34" s="12"/>
      <c r="H34" s="12"/>
      <c r="I34" s="12"/>
      <c r="J34" s="12"/>
      <c r="K34" s="12"/>
    </row>
    <row r="35" spans="2:15" x14ac:dyDescent="0.2">
      <c r="B35" s="12"/>
      <c r="C35" s="12"/>
      <c r="D35" s="12"/>
      <c r="E35" s="12"/>
      <c r="F35" s="12"/>
      <c r="G35" s="12"/>
      <c r="H35" s="12"/>
      <c r="I35" s="12"/>
      <c r="J35" s="12"/>
      <c r="K35" s="12"/>
    </row>
    <row r="36" spans="2:15" x14ac:dyDescent="0.2">
      <c r="B36" s="12"/>
      <c r="C36" s="12"/>
      <c r="D36" s="12"/>
      <c r="E36" s="12"/>
      <c r="F36" s="12"/>
      <c r="G36" s="12"/>
      <c r="H36" s="12"/>
      <c r="I36" s="12"/>
      <c r="J36" s="12"/>
      <c r="K36" s="12"/>
    </row>
    <row r="37" spans="2:15" x14ac:dyDescent="0.2">
      <c r="B37" s="12"/>
      <c r="C37" s="12"/>
      <c r="D37" s="12"/>
      <c r="E37" s="12"/>
      <c r="F37" s="12"/>
      <c r="G37" s="12"/>
      <c r="H37" s="12"/>
      <c r="I37" s="12"/>
      <c r="J37" s="12"/>
      <c r="K37" s="12"/>
    </row>
    <row r="38" spans="2:15" x14ac:dyDescent="0.2">
      <c r="B38" s="12"/>
      <c r="C38" s="12"/>
      <c r="D38" s="12"/>
      <c r="E38" s="12"/>
      <c r="F38" s="12"/>
      <c r="G38" s="12"/>
      <c r="H38" s="12"/>
      <c r="I38" s="12"/>
      <c r="J38" s="12"/>
      <c r="K38" s="12"/>
    </row>
    <row r="39" spans="2:15" x14ac:dyDescent="0.2">
      <c r="B39" s="12"/>
      <c r="C39" s="12"/>
      <c r="D39" s="12"/>
      <c r="E39" s="12"/>
      <c r="F39" s="12"/>
      <c r="G39" s="12"/>
      <c r="H39" s="12"/>
      <c r="I39" s="12"/>
      <c r="J39" s="12"/>
      <c r="K39" s="12"/>
    </row>
    <row r="40" spans="2:15" x14ac:dyDescent="0.2">
      <c r="B40" s="12"/>
      <c r="C40" s="12"/>
      <c r="D40" s="12"/>
      <c r="E40" s="12"/>
      <c r="F40" s="12"/>
      <c r="G40" s="12"/>
      <c r="H40" s="12"/>
      <c r="I40" s="12"/>
      <c r="J40" s="12"/>
      <c r="K40" s="12"/>
    </row>
    <row r="41" spans="2:15" x14ac:dyDescent="0.2">
      <c r="B41" s="12"/>
      <c r="C41" s="12"/>
      <c r="D41" s="12"/>
      <c r="E41" s="12"/>
      <c r="F41" s="12"/>
      <c r="G41" s="12"/>
      <c r="H41" s="12"/>
      <c r="I41" s="12"/>
      <c r="J41" s="12"/>
      <c r="K41" s="12"/>
    </row>
    <row r="42" spans="2:15" x14ac:dyDescent="0.2">
      <c r="B42" s="12"/>
      <c r="C42" s="12"/>
      <c r="D42" s="12"/>
      <c r="E42" s="12"/>
      <c r="F42" s="12"/>
      <c r="G42" s="12"/>
      <c r="H42" s="12"/>
      <c r="I42" s="12"/>
      <c r="J42" s="12"/>
      <c r="K42" s="12"/>
    </row>
    <row r="43" spans="2:15" x14ac:dyDescent="0.2">
      <c r="B43" s="12"/>
      <c r="C43" s="12"/>
      <c r="D43" s="12"/>
      <c r="E43" s="12"/>
      <c r="F43" s="12"/>
      <c r="G43" s="12"/>
      <c r="H43" s="12"/>
      <c r="I43" s="12"/>
      <c r="J43" s="12"/>
      <c r="K43" s="12"/>
      <c r="O43" s="13"/>
    </row>
    <row r="44" spans="2:15" x14ac:dyDescent="0.2">
      <c r="B44" s="12"/>
      <c r="C44" s="12"/>
      <c r="D44" s="12"/>
      <c r="E44" s="12"/>
      <c r="F44" s="12"/>
      <c r="G44" s="12"/>
      <c r="H44" s="12"/>
      <c r="I44" s="12"/>
      <c r="J44" s="12"/>
      <c r="K44" s="12"/>
    </row>
    <row r="45" spans="2:15" x14ac:dyDescent="0.2">
      <c r="B45" s="12"/>
      <c r="C45" s="12"/>
      <c r="D45" s="12"/>
      <c r="E45" s="12"/>
      <c r="F45" s="12"/>
      <c r="G45" s="12"/>
      <c r="H45" s="12"/>
      <c r="I45" s="12"/>
      <c r="J45" s="12"/>
      <c r="K45" s="12"/>
    </row>
    <row r="46" spans="2:15" x14ac:dyDescent="0.2">
      <c r="B46" s="12"/>
      <c r="C46" s="12"/>
      <c r="D46" s="12"/>
      <c r="E46" s="12"/>
      <c r="F46" s="12"/>
      <c r="G46" s="12"/>
      <c r="H46" s="12"/>
      <c r="I46" s="12"/>
      <c r="J46" s="12"/>
      <c r="K46" s="12"/>
    </row>
    <row r="47" spans="2:15" x14ac:dyDescent="0.2">
      <c r="B47" s="29"/>
      <c r="C47" s="29"/>
      <c r="D47" s="29"/>
      <c r="E47" s="29"/>
      <c r="F47" s="29"/>
      <c r="G47" s="29"/>
      <c r="H47" s="29"/>
      <c r="I47" s="29"/>
      <c r="J47" s="29"/>
      <c r="K47" s="29"/>
    </row>
    <row r="48" spans="2:15" x14ac:dyDescent="0.2">
      <c r="B48" s="28"/>
      <c r="C48" s="28"/>
      <c r="D48" s="28"/>
      <c r="E48" s="28"/>
      <c r="F48" s="28"/>
      <c r="G48" s="28"/>
      <c r="H48" s="28"/>
      <c r="I48" s="28"/>
      <c r="J48" s="28"/>
      <c r="K48" s="28"/>
      <c r="L48" s="30"/>
    </row>
    <row r="49" spans="2:12" x14ac:dyDescent="0.2">
      <c r="B49" s="28"/>
      <c r="C49" s="28"/>
      <c r="D49" s="28"/>
      <c r="E49" s="28"/>
      <c r="F49" s="28"/>
      <c r="G49" s="28"/>
      <c r="H49" s="28"/>
      <c r="I49" s="28"/>
      <c r="J49" s="28"/>
      <c r="K49" s="28"/>
      <c r="L49" s="30"/>
    </row>
    <row r="50" spans="2:12" x14ac:dyDescent="0.2">
      <c r="B50" s="12"/>
      <c r="C50" s="12"/>
      <c r="D50" s="12"/>
      <c r="E50" s="12"/>
      <c r="F50" s="12"/>
      <c r="G50" s="12"/>
      <c r="H50" s="12"/>
      <c r="I50" s="12"/>
      <c r="J50" s="12"/>
      <c r="K50" s="12"/>
    </row>
  </sheetData>
  <mergeCells count="10">
    <mergeCell ref="B48:K49"/>
    <mergeCell ref="I9:J9"/>
    <mergeCell ref="C5:J5"/>
    <mergeCell ref="C8:D8"/>
    <mergeCell ref="C9:D9"/>
    <mergeCell ref="E8:F8"/>
    <mergeCell ref="E9:F9"/>
    <mergeCell ref="G8:H8"/>
    <mergeCell ref="G9:H9"/>
    <mergeCell ref="I8:J8"/>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52BD-1A3D-0240-AAA4-C91AFC94A40D}">
  <dimension ref="A1:K15"/>
  <sheetViews>
    <sheetView topLeftCell="B1" workbookViewId="0">
      <selection activeCell="J3" sqref="J3"/>
    </sheetView>
  </sheetViews>
  <sheetFormatPr baseColWidth="10" defaultRowHeight="16" x14ac:dyDescent="0.2"/>
  <cols>
    <col min="1" max="1" width="19.6640625" customWidth="1"/>
    <col min="2" max="2" width="21" customWidth="1"/>
    <col min="3" max="3" width="28.33203125" customWidth="1"/>
    <col min="4" max="4" width="24.33203125" customWidth="1"/>
    <col min="5" max="5" width="21.83203125" customWidth="1"/>
    <col min="6" max="6" width="17.33203125" customWidth="1"/>
    <col min="7" max="7" width="16.5" customWidth="1"/>
    <col min="8" max="8" width="12.6640625" customWidth="1"/>
    <col min="9" max="9" width="17.83203125" style="9" customWidth="1"/>
    <col min="10" max="10" width="23.5" customWidth="1"/>
    <col min="11" max="11" width="15.6640625" customWidth="1"/>
  </cols>
  <sheetData>
    <row r="1" spans="1:11" s="6" customFormat="1" ht="21" x14ac:dyDescent="0.25">
      <c r="A1" s="5" t="s">
        <v>3</v>
      </c>
      <c r="B1" s="5" t="s">
        <v>0</v>
      </c>
      <c r="C1" s="5" t="s">
        <v>1</v>
      </c>
      <c r="D1" s="5" t="s">
        <v>7</v>
      </c>
      <c r="E1" s="5" t="s">
        <v>8</v>
      </c>
      <c r="F1" s="5" t="s">
        <v>9</v>
      </c>
      <c r="G1" s="5" t="s">
        <v>10</v>
      </c>
      <c r="H1" s="5" t="s">
        <v>2</v>
      </c>
      <c r="I1" s="7" t="s">
        <v>57</v>
      </c>
      <c r="J1" s="5" t="s">
        <v>58</v>
      </c>
      <c r="K1" s="5" t="s">
        <v>61</v>
      </c>
    </row>
    <row r="2" spans="1:11" ht="21" x14ac:dyDescent="0.25">
      <c r="A2" s="1" t="s">
        <v>4</v>
      </c>
      <c r="B2" s="1" t="s">
        <v>5</v>
      </c>
      <c r="C2" s="1" t="s">
        <v>55</v>
      </c>
      <c r="D2" s="3">
        <v>45296</v>
      </c>
      <c r="E2" s="3">
        <v>45301</v>
      </c>
      <c r="F2" s="3">
        <v>45306</v>
      </c>
      <c r="G2" s="3">
        <v>45311</v>
      </c>
      <c r="H2" s="1" t="s">
        <v>6</v>
      </c>
      <c r="I2" s="8">
        <f>IF(Recruitment[[#This Row],[Hire Date]]="","",Recruitment[[#This Row],[Hire Date]]-Recruitment[[#This Row],[Application Date]])</f>
        <v>15</v>
      </c>
      <c r="J2" s="3" t="str">
        <f>TEXT(Recruitment[[#This Row],[Application Date]],"yyyy-mm")</f>
        <v>2024-01</v>
      </c>
      <c r="K2" s="1">
        <f>IF(Recruitment[[#This Row],[Status]]="Hired",1,0)</f>
        <v>1</v>
      </c>
    </row>
    <row r="3" spans="1:11" ht="21" x14ac:dyDescent="0.25">
      <c r="A3" s="1" t="s">
        <v>11</v>
      </c>
      <c r="B3" s="1" t="s">
        <v>12</v>
      </c>
      <c r="C3" s="1" t="s">
        <v>56</v>
      </c>
      <c r="D3" s="3">
        <v>45299</v>
      </c>
      <c r="E3" s="3">
        <v>45306</v>
      </c>
      <c r="F3" s="3">
        <v>45316</v>
      </c>
      <c r="G3" s="3">
        <v>45323</v>
      </c>
      <c r="H3" s="1" t="s">
        <v>6</v>
      </c>
      <c r="I3" s="8">
        <f>IF(Recruitment[[#This Row],[Hire Date]]="","",Recruitment[[#This Row],[Hire Date]]-Recruitment[[#This Row],[Application Date]])</f>
        <v>24</v>
      </c>
      <c r="J3" s="3" t="str">
        <f>TEXT(Recruitment[[#This Row],[Application Date]],"yyyy-mm")</f>
        <v>2024-01</v>
      </c>
      <c r="K3" s="1">
        <f>IF(Recruitment[[#This Row],[Status]]="Hired",1,0)</f>
        <v>1</v>
      </c>
    </row>
    <row r="4" spans="1:11" ht="21" x14ac:dyDescent="0.25">
      <c r="A4" s="1" t="s">
        <v>13</v>
      </c>
      <c r="B4" s="1" t="s">
        <v>14</v>
      </c>
      <c r="C4" s="1" t="s">
        <v>15</v>
      </c>
      <c r="D4" s="3">
        <v>45303</v>
      </c>
      <c r="E4" s="3">
        <v>45311</v>
      </c>
      <c r="F4" s="3">
        <v>45319</v>
      </c>
      <c r="G4" s="3"/>
      <c r="H4" s="1" t="s">
        <v>16</v>
      </c>
      <c r="I4" s="8" t="str">
        <f>IF(Recruitment[[#This Row],[Hire Date]]="","",Recruitment[[#This Row],[Hire Date]]-Recruitment[[#This Row],[Application Date]])</f>
        <v/>
      </c>
      <c r="J4" s="3" t="str">
        <f>TEXT(Recruitment[[#This Row],[Application Date]],"yyyy-mm")</f>
        <v>2024-01</v>
      </c>
      <c r="K4" s="1">
        <f>IF(Recruitment[[#This Row],[Status]]="Hired",1,0)</f>
        <v>0</v>
      </c>
    </row>
    <row r="5" spans="1:11" ht="21" x14ac:dyDescent="0.25">
      <c r="A5" s="1" t="s">
        <v>17</v>
      </c>
      <c r="B5" s="1" t="s">
        <v>18</v>
      </c>
      <c r="C5" s="1" t="s">
        <v>19</v>
      </c>
      <c r="D5" s="3">
        <v>45323</v>
      </c>
      <c r="E5" s="3">
        <v>45327</v>
      </c>
      <c r="F5" s="3">
        <v>45332</v>
      </c>
      <c r="G5" s="3">
        <v>45340</v>
      </c>
      <c r="H5" s="1" t="s">
        <v>6</v>
      </c>
      <c r="I5" s="8">
        <f>IF(Recruitment[[#This Row],[Hire Date]]="","",Recruitment[[#This Row],[Hire Date]]-Recruitment[[#This Row],[Application Date]])</f>
        <v>17</v>
      </c>
      <c r="J5" s="3" t="str">
        <f>TEXT(Recruitment[[#This Row],[Application Date]],"yyyy-mm")</f>
        <v>2024-02</v>
      </c>
      <c r="K5" s="1">
        <f>IF(Recruitment[[#This Row],[Status]]="Hired",1,0)</f>
        <v>1</v>
      </c>
    </row>
    <row r="6" spans="1:11" ht="21" x14ac:dyDescent="0.25">
      <c r="A6" s="1" t="s">
        <v>20</v>
      </c>
      <c r="B6" s="1" t="s">
        <v>21</v>
      </c>
      <c r="C6" s="1" t="s">
        <v>55</v>
      </c>
      <c r="D6" s="3">
        <v>45332</v>
      </c>
      <c r="E6" s="3">
        <v>45337</v>
      </c>
      <c r="F6" s="3">
        <v>45342</v>
      </c>
      <c r="G6" s="3"/>
      <c r="H6" s="1" t="s">
        <v>16</v>
      </c>
      <c r="I6" s="8" t="str">
        <f>IF(Recruitment[[#This Row],[Hire Date]]="","",Recruitment[[#This Row],[Hire Date]]-Recruitment[[#This Row],[Application Date]])</f>
        <v/>
      </c>
      <c r="J6" s="3" t="str">
        <f>TEXT(Recruitment[[#This Row],[Application Date]],"yyyy-mm")</f>
        <v>2024-02</v>
      </c>
      <c r="K6" s="1">
        <f>IF(Recruitment[[#This Row],[Status]]="Hired",1,0)</f>
        <v>0</v>
      </c>
    </row>
    <row r="7" spans="1:11" ht="21" x14ac:dyDescent="0.25">
      <c r="A7" s="1" t="s">
        <v>22</v>
      </c>
      <c r="B7" s="1" t="s">
        <v>23</v>
      </c>
      <c r="C7" s="1" t="s">
        <v>24</v>
      </c>
      <c r="D7" s="3">
        <v>45334</v>
      </c>
      <c r="E7" s="3">
        <v>45340</v>
      </c>
      <c r="F7" s="3">
        <v>45347</v>
      </c>
      <c r="G7" s="3">
        <v>45352</v>
      </c>
      <c r="H7" s="1" t="s">
        <v>6</v>
      </c>
      <c r="I7" s="8">
        <f>IF(Recruitment[[#This Row],[Hire Date]]="","",Recruitment[[#This Row],[Hire Date]]-Recruitment[[#This Row],[Application Date]])</f>
        <v>18</v>
      </c>
      <c r="J7" s="3" t="str">
        <f>TEXT(Recruitment[[#This Row],[Application Date]],"yyyy-mm")</f>
        <v>2024-02</v>
      </c>
      <c r="K7" s="1">
        <f>IF(Recruitment[[#This Row],[Status]]="Hired",1,0)</f>
        <v>1</v>
      </c>
    </row>
    <row r="8" spans="1:11" ht="21" x14ac:dyDescent="0.25">
      <c r="A8" s="1" t="s">
        <v>25</v>
      </c>
      <c r="B8" s="1" t="s">
        <v>12</v>
      </c>
      <c r="C8" s="1" t="s">
        <v>56</v>
      </c>
      <c r="D8" s="3">
        <v>45342</v>
      </c>
      <c r="E8" s="3">
        <v>45350</v>
      </c>
      <c r="F8" s="3">
        <v>45356</v>
      </c>
      <c r="G8" s="3"/>
      <c r="H8" s="1" t="s">
        <v>16</v>
      </c>
      <c r="I8" s="8" t="str">
        <f>IF(Recruitment[[#This Row],[Hire Date]]="","",Recruitment[[#This Row],[Hire Date]]-Recruitment[[#This Row],[Application Date]])</f>
        <v/>
      </c>
      <c r="J8" s="3" t="str">
        <f>TEXT(Recruitment[[#This Row],[Application Date]],"yyyy-mm")</f>
        <v>2024-02</v>
      </c>
      <c r="K8" s="1">
        <f>IF(Recruitment[[#This Row],[Status]]="Hired",1,0)</f>
        <v>0</v>
      </c>
    </row>
    <row r="9" spans="1:11" ht="21" x14ac:dyDescent="0.25">
      <c r="A9" s="1" t="s">
        <v>26</v>
      </c>
      <c r="B9" s="1" t="s">
        <v>14</v>
      </c>
      <c r="C9" s="1" t="s">
        <v>15</v>
      </c>
      <c r="D9" s="3">
        <v>45352</v>
      </c>
      <c r="E9" s="3">
        <v>45358</v>
      </c>
      <c r="F9" s="3">
        <v>45366</v>
      </c>
      <c r="G9" s="3">
        <v>45376</v>
      </c>
      <c r="H9" s="1" t="s">
        <v>6</v>
      </c>
      <c r="I9" s="8">
        <f>IF(Recruitment[[#This Row],[Hire Date]]="","",Recruitment[[#This Row],[Hire Date]]-Recruitment[[#This Row],[Application Date]])</f>
        <v>24</v>
      </c>
      <c r="J9" s="3" t="str">
        <f>TEXT(Recruitment[[#This Row],[Application Date]],"yyyy-mm")</f>
        <v>2024-03</v>
      </c>
      <c r="K9" s="1">
        <f>IF(Recruitment[[#This Row],[Status]]="Hired",1,0)</f>
        <v>1</v>
      </c>
    </row>
    <row r="10" spans="1:11" ht="21" x14ac:dyDescent="0.25">
      <c r="A10" s="1" t="s">
        <v>27</v>
      </c>
      <c r="B10" s="1" t="s">
        <v>18</v>
      </c>
      <c r="C10" s="1" t="s">
        <v>19</v>
      </c>
      <c r="D10" s="3">
        <v>45356</v>
      </c>
      <c r="E10" s="3">
        <v>45361</v>
      </c>
      <c r="F10" s="3">
        <v>45369</v>
      </c>
      <c r="G10" s="3">
        <v>45379</v>
      </c>
      <c r="H10" s="1" t="s">
        <v>6</v>
      </c>
      <c r="I10" s="8">
        <f>IF(Recruitment[[#This Row],[Hire Date]]="","",Recruitment[[#This Row],[Hire Date]]-Recruitment[[#This Row],[Application Date]])</f>
        <v>23</v>
      </c>
      <c r="J10" s="3" t="str">
        <f>TEXT(Recruitment[[#This Row],[Application Date]],"yyyy-mm")</f>
        <v>2024-03</v>
      </c>
      <c r="K10" s="1">
        <f>IF(Recruitment[[#This Row],[Status]]="Hired",1,0)</f>
        <v>1</v>
      </c>
    </row>
    <row r="11" spans="1:11" ht="21" x14ac:dyDescent="0.25">
      <c r="A11" s="1" t="s">
        <v>28</v>
      </c>
      <c r="B11" s="1" t="s">
        <v>23</v>
      </c>
      <c r="C11" s="1" t="s">
        <v>24</v>
      </c>
      <c r="D11" s="3">
        <v>45361</v>
      </c>
      <c r="E11" s="3">
        <v>45366</v>
      </c>
      <c r="F11" s="3">
        <v>45373</v>
      </c>
      <c r="G11" s="3"/>
      <c r="H11" s="1" t="s">
        <v>16</v>
      </c>
      <c r="I11" s="8" t="str">
        <f>IF(Recruitment[[#This Row],[Hire Date]]="","",Recruitment[[#This Row],[Hire Date]]-Recruitment[[#This Row],[Application Date]])</f>
        <v/>
      </c>
      <c r="J11" s="3" t="str">
        <f>TEXT(Recruitment[[#This Row],[Application Date]],"yyyy-mm")</f>
        <v>2024-03</v>
      </c>
      <c r="K11" s="1">
        <f>IF(Recruitment[[#This Row],[Status]]="Hired",1,0)</f>
        <v>0</v>
      </c>
    </row>
    <row r="12" spans="1:11" ht="21" x14ac:dyDescent="0.25">
      <c r="A12" s="1" t="s">
        <v>29</v>
      </c>
      <c r="B12" s="1" t="s">
        <v>5</v>
      </c>
      <c r="C12" s="1" t="s">
        <v>55</v>
      </c>
      <c r="D12" s="3">
        <v>45366</v>
      </c>
      <c r="E12" s="3">
        <v>45371</v>
      </c>
      <c r="F12" s="3">
        <v>45379</v>
      </c>
      <c r="G12" s="3">
        <v>45387</v>
      </c>
      <c r="H12" s="1" t="s">
        <v>6</v>
      </c>
      <c r="I12" s="8">
        <f>IF(Recruitment[[#This Row],[Hire Date]]="","",Recruitment[[#This Row],[Hire Date]]-Recruitment[[#This Row],[Application Date]])</f>
        <v>21</v>
      </c>
      <c r="J12" s="3" t="str">
        <f>TEXT(Recruitment[[#This Row],[Application Date]],"yyyy-mm")</f>
        <v>2024-03</v>
      </c>
      <c r="K12" s="1">
        <f>IF(Recruitment[[#This Row],[Status]]="Hired",1,0)</f>
        <v>1</v>
      </c>
    </row>
    <row r="13" spans="1:11" ht="21" x14ac:dyDescent="0.25">
      <c r="A13" s="1" t="s">
        <v>30</v>
      </c>
      <c r="B13" s="1" t="s">
        <v>12</v>
      </c>
      <c r="C13" s="1" t="s">
        <v>56</v>
      </c>
      <c r="D13" s="3">
        <v>45369</v>
      </c>
      <c r="E13" s="3">
        <v>45376</v>
      </c>
      <c r="F13" s="3">
        <v>45383</v>
      </c>
      <c r="G13" s="3">
        <v>45392</v>
      </c>
      <c r="H13" s="1" t="s">
        <v>6</v>
      </c>
      <c r="I13" s="8">
        <f>IF(Recruitment[[#This Row],[Hire Date]]="","",Recruitment[[#This Row],[Hire Date]]-Recruitment[[#This Row],[Application Date]])</f>
        <v>23</v>
      </c>
      <c r="J13" s="3" t="str">
        <f>TEXT(Recruitment[[#This Row],[Application Date]],"yyyy-mm")</f>
        <v>2024-03</v>
      </c>
      <c r="K13" s="1">
        <f>IF(Recruitment[[#This Row],[Status]]="Hired",1,0)</f>
        <v>1</v>
      </c>
    </row>
    <row r="14" spans="1:11" ht="21" x14ac:dyDescent="0.25">
      <c r="A14" s="1"/>
      <c r="B14" s="1"/>
      <c r="C14" s="1"/>
      <c r="D14" s="3"/>
      <c r="E14" s="3"/>
      <c r="F14" s="3"/>
      <c r="G14" s="3"/>
      <c r="H14" s="1"/>
      <c r="I14" s="8">
        <f>SUM(I2,I3,I5,I7,I9,I10,I12,I13)</f>
        <v>165</v>
      </c>
      <c r="J14" s="3"/>
      <c r="K14" s="1"/>
    </row>
    <row r="15" spans="1:11" x14ac:dyDescent="0.2">
      <c r="I15" s="9">
        <f>Recruitment[[#Totals],[Time to Hire]]/8</f>
        <v>20.625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B69E37-7D46-D34C-9215-B11124D49F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EMPLOYEES</vt:lpstr>
      <vt:lpstr>Pivots</vt:lpstr>
      <vt:lpstr>Dashboard</vt:lpstr>
      <vt:lpstr>RECRUITMENT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Edidiong Akama</dc:creator>
  <cp:lastModifiedBy>Edidiong Akama</cp:lastModifiedBy>
  <dcterms:created xsi:type="dcterms:W3CDTF">2026-05-02T21:32:06Z</dcterms:created>
  <dcterms:modified xsi:type="dcterms:W3CDTF">2026-10-30T13:47:49Z</dcterms:modified>
</cp:coreProperties>
</file>